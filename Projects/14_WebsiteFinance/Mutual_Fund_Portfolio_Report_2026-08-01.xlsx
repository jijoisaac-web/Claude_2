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Holdings &amp; Returns" sheetId="2" state="visible" r:id="rId4"/>
    <sheet name="Classification &amp; Analysis" sheetId="3" state="visible" r:id="rId5"/>
    <sheet name="Transactions" sheetId="4" state="visible" r:id="rId6"/>
    <sheet name="NAV History (Source Data)" sheetId="5" state="visible" r:id="rId7"/>
    <sheet name="Exited Positions" sheetId="6" state="visible" r:id="rId8"/>
    <sheet name="Data Quality Notes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<sst xmlns="http://schemas.openxmlformats.org/spreadsheetml/2006/main" count="685" uniqueCount="319">
  <si>
    <t xml:space="preserve">Jijo P Isaac — Mutual Fund Portfolio Report</t>
  </si>
  <si>
    <t xml:space="preserve">Statement period: 01-Aug-2023 to 01-Aug-2026   |   PAN: AKZPJ9044N   |   Source: CAS detailed report (cas_detailed_report_2026_08_01_124122.xlsx)   |   Rebuilt: 01-Aug-2026</t>
  </si>
  <si>
    <t xml:space="preserve">KEY METRICS</t>
  </si>
  <si>
    <t xml:space="preserve">Total Invested (Rs.) — active holdings</t>
  </si>
  <si>
    <t xml:space="preserve">Current Portfolio Value (Rs.)</t>
  </si>
  <si>
    <t xml:space="preserve">Absolute Gain / Loss (Rs.)</t>
  </si>
  <si>
    <t xml:space="preserve">Absolute Return (%) - since inception, blended</t>
  </si>
  <si>
    <t xml:space="preserve">Portfolio XIRR - cash-flow-verified funds (~90% of capital)*</t>
  </si>
  <si>
    <t xml:space="preserve">Number of active fund holdings</t>
  </si>
  <si>
    <t xml:space="preserve">Number of AMCs (active holdings)</t>
  </si>
  <si>
    <t xml:space="preserve">Realized gain/loss on exited folios (Rs.)</t>
  </si>
  <si>
    <t xml:space="preserve">*XIRR excludes Axis Mid Cap Fund (Rs.9,45,542 invested) - its transaction history is absent from the source CAS. See Data Quality Notes tab.</t>
  </si>
  <si>
    <t xml:space="preserve">WHAT'S IN THIS WORKBOOK</t>
  </si>
  <si>
    <t xml:space="preserve">-  Holdings &amp; Returns  --  every active fund with XIRR, 3M/6M/1Y/3Y/5Y returns, weight, and gain/loss (Section 1).</t>
  </si>
  <si>
    <t xml:space="preserve">-  Classification &amp; Analysis  --  asset-class / market-cap / AMC breakdown, portfolio health assessment and action items (Section 2).</t>
  </si>
  <si>
    <t xml:space="preserve">-  Transactions  --  full cleaned transaction log per fund, used to drive the XIRR formulas.</t>
  </si>
  <si>
    <t xml:space="preserve">-  NAV History (Source Data)  --  NAV reference points behind the trailing return calculations, with source.</t>
  </si>
  <si>
    <t xml:space="preserve">-  Exited Positions  --  three fully redeemed folios with realized gain/loss.</t>
  </si>
  <si>
    <t xml:space="preserve">-  Data Quality Notes  --  gaps and quirks found in the source CAS, and what to do about them.</t>
  </si>
  <si>
    <t xml:space="preserve">Section 1 — Portfolio Holdings &amp; Returns (active funds)</t>
  </si>
  <si>
    <t xml:space="preserve">Holdings and returns consolidated from the CAS. XIRR = money-weighted return from actual cash flows (see Transactions tab). 3M/6M = absolute return; 1Y/3Y/5Y = annualised (CAGR), point-to-point on fund NAV.</t>
  </si>
  <si>
    <t xml:space="preserve">Scheme</t>
  </si>
  <si>
    <t xml:space="preserve">AMC</t>
  </si>
  <si>
    <t xml:space="preserve">Asset Class</t>
  </si>
  <si>
    <t xml:space="preserve">Segment</t>
  </si>
  <si>
    <t xml:space="preserve">Folio No.</t>
  </si>
  <si>
    <t xml:space="preserve">Invested (₹)</t>
  </si>
  <si>
    <t xml:space="preserve">Current Value (₹)</t>
  </si>
  <si>
    <t xml:space="preserve">Gain/Loss (₹)</t>
  </si>
  <si>
    <t xml:space="preserve">Total Return %</t>
  </si>
  <si>
    <t xml:space="preserve">Weight %</t>
  </si>
  <si>
    <t xml:space="preserve">XIRR %</t>
  </si>
  <si>
    <t xml:space="preserve">3M %</t>
  </si>
  <si>
    <t xml:space="preserve">6M %</t>
  </si>
  <si>
    <t xml:space="preserve">1Y % (CAGR)</t>
  </si>
  <si>
    <t xml:space="preserve">3Y % (CAGR)</t>
  </si>
  <si>
    <t xml:space="preserve">5Y % (CAGR)</t>
  </si>
  <si>
    <t xml:space="preserve">HDFC Small Cap Fund - Direct Growth Plan</t>
  </si>
  <si>
    <t xml:space="preserve">HDFC Mutual Fund</t>
  </si>
  <si>
    <t xml:space="preserve">Equity</t>
  </si>
  <si>
    <t xml:space="preserve">Small Cap</t>
  </si>
  <si>
    <t xml:space="preserve">15045815</t>
  </si>
  <si>
    <t xml:space="preserve">Kotak Midcap Fund-  Direct Plan - Growth (Erstwhile Kotak Emerging Equity Scheme)</t>
  </si>
  <si>
    <t xml:space="preserve">Kotak Mutual Fund</t>
  </si>
  <si>
    <t xml:space="preserve">Mid Cap</t>
  </si>
  <si>
    <t xml:space="preserve">12734790</t>
  </si>
  <si>
    <t xml:space="preserve">Parag Parikh Flexi Cap Fund - Direct Plan Growth (formerly Parag Parikh Long Term Value Fund)</t>
  </si>
  <si>
    <t xml:space="preserve">PPFAS Mutual Fund</t>
  </si>
  <si>
    <t xml:space="preserve">Flexi Cap (incl. intl.)</t>
  </si>
  <si>
    <t xml:space="preserve">17029743</t>
  </si>
  <si>
    <t xml:space="preserve">Canara Robeco Large Cap Fund - Direct Growth</t>
  </si>
  <si>
    <t xml:space="preserve">Canara Robeco Mutual Fund</t>
  </si>
  <si>
    <t xml:space="preserve">Large Cap</t>
  </si>
  <si>
    <t xml:space="preserve">19959900451</t>
  </si>
  <si>
    <t xml:space="preserve">quant Multi Asset Allocation Fund - Direct Plan - Growth</t>
  </si>
  <si>
    <t xml:space="preserve">Quant MF</t>
  </si>
  <si>
    <t xml:space="preserve">Multi-Asset</t>
  </si>
  <si>
    <t xml:space="preserve">Equity+Debt+Gold</t>
  </si>
  <si>
    <t xml:space="preserve">51065408774</t>
  </si>
  <si>
    <t xml:space="preserve">NIPPON INDIA LARGE CAP FUND - DIRECT GROWTH PLAN GROWTH OPTION</t>
  </si>
  <si>
    <t xml:space="preserve">Nippon India Mutual Fund</t>
  </si>
  <si>
    <t xml:space="preserve">499310094065</t>
  </si>
  <si>
    <t xml:space="preserve">NIPPON INDIA GROWTH MID CAP FUND - DIRECT GROWTH PLAN GROWTH OPTION</t>
  </si>
  <si>
    <t xml:space="preserve">Axis Mid Cap Fund - Direct Growth</t>
  </si>
  <si>
    <t xml:space="preserve">Axis Mutual Fund</t>
  </si>
  <si>
    <t xml:space="preserve">910116656423</t>
  </si>
  <si>
    <t xml:space="preserve">N/A</t>
  </si>
  <si>
    <t xml:space="preserve">TOTAL / PORTFOLIO</t>
  </si>
  <si>
    <t xml:space="preserve">Section 2 — Classification, Portfolio Health &amp; Action Items</t>
  </si>
  <si>
    <t xml:space="preserve">Classifies each active holding by asset class, market-cap segment and AMC, then assesses concentration/overlap risk and lays out concrete next steps.</t>
  </si>
  <si>
    <t xml:space="preserve">ALLOCATION BY ASSET CLASS</t>
  </si>
  <si>
    <t xml:space="preserve">ALLOCATION BY MARKET-CAP / STYLE SEGMENT</t>
  </si>
  <si>
    <t xml:space="preserve">ALLOCATION BY AMC (concentration check)</t>
  </si>
  <si>
    <t xml:space="preserve">HOW GOOD IS THIS PORTFOLIO — STRENGTHS</t>
  </si>
  <si>
    <t xml:space="preserve">+  Solidly profitable overall: +Rs.18.8 lakh gain on Rs.99.5 lakh invested (+18.8% absolute) over a 3-year build-up, with every active holding in the green.</t>
  </si>
  <si>
    <t xml:space="preserve">+  100% Direct plans across all current holdings — no trail-commission drag from Regular plans (the one Regular-plan legacy folio, HDFC Value Fund, was fully exited).</t>
  </si>
  <si>
    <t xml:space="preserve">+  Genuine SIP discipline: Kotak Midcap Fund has run 37 monthly instalments since Aug-2023 — the single best-behaved habit in the portfolio.</t>
  </si>
  <si>
    <t xml:space="preserve">+  Spread across 7 AMCs and 5 style segments — the raw ingredients for diversification are present, even if the mix needs rebalancing (see below).</t>
  </si>
  <si>
    <t xml:space="preserve">+  Individual fund-level XIRRs (where verifiable) are healthy and broadly ahead of typical FD/debt returns: quant Multi Asset Allocation 16.4%, Kotak Midcap 13.8%, Nippon Growth Mid Cap 12.4%.</t>
  </si>
  <si>
    <t xml:space="preserve">WHAT'S NOT GOOD — CONCENTRATION, GAPS &amp; RISK</t>
  </si>
  <si>
    <t xml:space="preserve">!  Mid-cap heavy: 49% of the book sits in THREE separate mid-cap funds (Kotak Midcap, Axis Mid Cap, Nippon Growth Mid Cap). That's not diversification — it's one large, volatile bet split three ways, almost certainly with overlapping stock holdings.</t>
  </si>
  <si>
    <t xml:space="preserve">!  Single-AMC concentration: Nippon India alone accounts for 40% of the portfolio (Large Cap + Growth Mid Cap funds combined) — a lot resting on one fund house's process and fund managers.</t>
  </si>
  <si>
    <t xml:space="preserve">!  Zero dedicated debt/fixed-income fund: the only non-pure-equity sleeve is the quant Multi Asset Allocation fund (9.6% of the book), which itself is mostly equity. On a ~Rs.1.18 crore mutual-fund book this leaves no ballast for a market drawdown and no 'dry powder' to rebalance into a dip.</t>
  </si>
  <si>
    <t xml:space="preserve">!  Large cap is under-weighted at 21.9% against a 49% mid-cap tilt — an aggressive skew that should be a deliberate choice, not a side-effect of scattered fund selection.</t>
  </si>
  <si>
    <t xml:space="preserve">!  Two folios have incomplete transaction history in the source CAS: Axis Mid Cap (Rs.16.02 lakh current value, 13.5% of the portfolio) has NO transaction records at all, and HDFC Small Cap is missing ~39% of its invested capital's transaction trail. XIRR for both is either unavailable or only indicative — and this same gap would show up if this data were ever needed for capital-gains tax reporting.</t>
  </si>
  <si>
    <t xml:space="preserve">!  The source CAS mislabels quant Multi Asset Allocation Fund's category as 'DEBT' — it is actually a multi-asset (equity + debt + gold) hybrid. This workbook reclassifies it; don't rely on the CAS's own category column.</t>
  </si>
  <si>
    <t xml:space="preserve">!  Two of three fully-exited positions had a rockier ride: Kotak Multicap was exited at a realized LOSS of Rs.39,848; quant Multi Cap was redeemed in two separate tranches (May-2025 and Feb-2026) for a modest net gain of Rs.23,282 — worth understanding why before repeating the pattern.</t>
  </si>
  <si>
    <t xml:space="preserve">ACTION ITEMS</t>
  </si>
  <si>
    <t xml:space="preserve">1.  Pull a fresh, COMBINED CAS (CAMS + KFinTech, 'since inception') from mfcentral.com to close the Axis Mid Cap and HDFC Small Cap transaction gaps — needed for accurate XIRR and for capital-gains tax reporting.</t>
  </si>
  <si>
    <t xml:space="preserve">2.  Consolidate the mid-cap overlap: pick 1-2 highest-conviction mid-cap funds out of the three and redirect fresh SIP/lumpsum money elsewhere; three overlapping mid-cap funds add cost and complexity without real extra diversification.</t>
  </si>
  <si>
    <t xml:space="preserve">3.  Cap single-AMC exposure: trim Nippon India's combined 40% weight toward 25-30% of the mutual-fund book over the next few rebalancing cycles.</t>
  </si>
  <si>
    <t xml:space="preserve">4.  Add a dedicated debt/short-duration fund at 10-15% of the book for stability and rebalancing flexibility — don't count on the multi-asset fund to do this job alone.</t>
  </si>
  <si>
    <t xml:space="preserve">5.  Rebalance large-cap vs mid-cap: nudge large-cap weight from ~22% toward ~35-40% if the goal is a core-and-satellite structure rather than an all-out aggressive growth bet.</t>
  </si>
  <si>
    <t xml:space="preserve">6.  Review and close out the small HDFC Value Fund residual/legacy record once the fresh CAS confirms there's nothing outstanding.</t>
  </si>
  <si>
    <t xml:space="preserve">7.  Revisit why Kotak Multicap was exited at a loss and why quant Multi Cap was redeemed in two tranches — capture the lesson before the next fund-selection decision.</t>
  </si>
  <si>
    <t xml:space="preserve">Transaction Log (cleaned — admin/zero-amount entries removed)</t>
  </si>
  <si>
    <t xml:space="preserve">Each active fund's block ends with a 'Valuation' row (current value as of 01-Aug-2026) so =XIRR() can be computed directly over the range below. Source: cas_detailed_report_2026_08_01_124122.xlsx, Transaction Details tab.</t>
  </si>
  <si>
    <t xml:space="preserve">Date</t>
  </si>
  <si>
    <t xml:space="preserve">Description</t>
  </si>
  <si>
    <t xml:space="preserve">NAV (₹)</t>
  </si>
  <si>
    <t xml:space="preserve">Units</t>
  </si>
  <si>
    <t xml:space="preserve">Amount (₹)</t>
  </si>
  <si>
    <t xml:space="preserve">Cashflow for XIRR (₹)</t>
  </si>
  <si>
    <t xml:space="preserve">Purchase - via HDFCMFOnline</t>
  </si>
  <si>
    <t xml:space="preserve">Purchase - via HDFCMFMobile</t>
  </si>
  <si>
    <t xml:space="preserve">Valuation as of statement date (current holding value)</t>
  </si>
  <si>
    <t xml:space="preserve">Systematic Purchase (Continuous Offer) - Instalment 1/240 - via Internet</t>
  </si>
  <si>
    <t xml:space="preserve">Systematic Purchase (Continuous Offer) - Instalment 2/240 - via Internet</t>
  </si>
  <si>
    <t xml:space="preserve">Systematic Purchase (Continuous Offer) - Instalment 3/240 - via Internet</t>
  </si>
  <si>
    <t xml:space="preserve">Systematic Purchase (Continuous Offer) - Instalment 4/240 - via Internet</t>
  </si>
  <si>
    <t xml:space="preserve">Systematic Purchase (Continuous Offer) - Instalment 5/240 - via Internet</t>
  </si>
  <si>
    <t xml:space="preserve">Systematic Purchase (Continuous Offer) - Instalment 6/240 - via Internet</t>
  </si>
  <si>
    <t xml:space="preserve">Systematic Purchase (Continuous Offer) - Instalment 7/240 - via Internet</t>
  </si>
  <si>
    <t xml:space="preserve">Systematic Purchase (Continuous Offer) - Instalment 8/240 - via Internet</t>
  </si>
  <si>
    <t xml:space="preserve">Systematic Purchase (Continuous Offer) - Instalment 9/240 - via Internet</t>
  </si>
  <si>
    <t xml:space="preserve">Systematic Purchase (Continuous Offer) - Instalment 10/240 - via Internet</t>
  </si>
  <si>
    <t xml:space="preserve">Systematic Purchase (Continuous Offer) - Instalment 11/240 - via Internet</t>
  </si>
  <si>
    <t xml:space="preserve">Systematic Purchase (Continuous Offer) - Instalment 12/240 - via Internet</t>
  </si>
  <si>
    <t xml:space="preserve">Systematic Purchase (Continuous Offer) - Instalment 13/240 - via Internet</t>
  </si>
  <si>
    <t xml:space="preserve">Systematic Purchase (Continuous Offer) - Instalment 14/240 - via Internet</t>
  </si>
  <si>
    <t xml:space="preserve">Systematic Purchase (Continuous Offer) - Instalment 15/240 - via Internet</t>
  </si>
  <si>
    <t xml:space="preserve">Systematic Purchase (Continuous Offer) - Instalment 16/240 - via Internet</t>
  </si>
  <si>
    <t xml:space="preserve">Systematic Purchase (Continuous Offer) - Instalment 17/240 - via Internet</t>
  </si>
  <si>
    <t xml:space="preserve">Systematic Purchase (Continuous Offer) - Instalment 18/240 - via Internet</t>
  </si>
  <si>
    <t xml:space="preserve">Systematic Purchase (Continuous Offer) - Instalment 19/240 - via Internet</t>
  </si>
  <si>
    <t xml:space="preserve">Systematic Purchase (Continuous Offer) - Instalment 20/240 - via Internet</t>
  </si>
  <si>
    <t xml:space="preserve">Systematic Purchase (Continuous Offer) - Instalment 21/240 - via Internet</t>
  </si>
  <si>
    <t xml:space="preserve">Systematic Purchase (Continuous Offer) - Instalment 22/240 - via Internet</t>
  </si>
  <si>
    <t xml:space="preserve">Systematic Purchase (Continuous Offer) - Instalment 23/240 - via Internet</t>
  </si>
  <si>
    <t xml:space="preserve">Purchase (Continuous Offer) - via Internet</t>
  </si>
  <si>
    <t xml:space="preserve">Systematic Purchase (Continuous Offer) - Instalment 24/240 - via Internet</t>
  </si>
  <si>
    <t xml:space="preserve">Systematic Purchase (Continuous Offer) - Instalment 25/240 - via Internet</t>
  </si>
  <si>
    <t xml:space="preserve">Systematic Purchase (Continuous Offer) - Instalment 26/240 - via Internet</t>
  </si>
  <si>
    <t xml:space="preserve">Systematic Purchase (Continuous Offer) - Instalment 27/240 - via Internet</t>
  </si>
  <si>
    <t xml:space="preserve">Systematic Purchase (Continuous Offer) - Instalment 28/240 - via Internet</t>
  </si>
  <si>
    <t xml:space="preserve">Systematic Purchase (Continuous Offer) - Instalment 29/240 - via Internet</t>
  </si>
  <si>
    <t xml:space="preserve">Systematic Purchase (Continuous Offer) - Instalment 30/240 - via Internet</t>
  </si>
  <si>
    <t xml:space="preserve">Systematic Purchase (Continuous Offer) - Instalment 31/240 - via Internet</t>
  </si>
  <si>
    <t xml:space="preserve">Systematic Purchase (Continuous Offer) - Instalment 32/240 - via Internet</t>
  </si>
  <si>
    <t xml:space="preserve">Systematic Purchase (Continuous Offer) - Instalment 33/240 - via Internet</t>
  </si>
  <si>
    <t xml:space="preserve">Systematic Purchase (Continuous Offer) - Instalment 34/240 - via Internet</t>
  </si>
  <si>
    <t xml:space="preserve">Systematic Purchase (Continuous Offer) - Instalment 35/240 - via Internet</t>
  </si>
  <si>
    <t xml:space="preserve">Systematic Purchase (Continuous Offer) - Instalment 36/240 - via Internet</t>
  </si>
  <si>
    <t xml:space="preserve">Systematic Purchase (Continuous Offer) - Instalment 37/240 - via Internet</t>
  </si>
  <si>
    <t xml:space="preserve">Purchase- via MFCentral</t>
  </si>
  <si>
    <t xml:space="preserve">Purchase Trxn.Ref.No.240029488533HDFC Bank Ltd</t>
  </si>
  <si>
    <t xml:space="preserve">Purchase Trxn.Ref.No.243668145815HDFC Bank Ltd</t>
  </si>
  <si>
    <t xml:space="preserve">New Purchase Trxn.Ref.No.241033038154HDFC Bank Ltd</t>
  </si>
  <si>
    <t xml:space="preserve">Additional Purchase Trxn.Ref.No.253658230131HDFC Bank Ltd</t>
  </si>
  <si>
    <t xml:space="preserve">Additional Purchase Trxn.Ref.No.2693709100141HDFC Bank Ltd</t>
  </si>
  <si>
    <t xml:space="preserve">Additional Purchase Trxn.Ref.No.2693709100144HDFC Bank Ltd</t>
  </si>
  <si>
    <t xml:space="preserve">Additional Purchase Trxn.Ref.No.2693712600070HDFC Bank Ltd</t>
  </si>
  <si>
    <t xml:space="preserve">Purchase Trxn.Ref.No.240029494692HDFC Bank Ltd</t>
  </si>
  <si>
    <t xml:space="preserve">Purchase Trxn.Ref.No.250247750155HDFC Bank Ltd</t>
  </si>
  <si>
    <t xml:space="preserve">Purchase Trxn.Ref.No.250632162408HDFC Bank Ltd</t>
  </si>
  <si>
    <t xml:space="preserve">Purchase Trxn.Ref.No.251327518246HDFC Bank Ltd</t>
  </si>
  <si>
    <t xml:space="preserve">Purchase Trxn.Ref.No.251421359500HDFC Bank Ltd</t>
  </si>
  <si>
    <t xml:space="preserve">Purchase Trxn.Ref.No.251493642219HDFC Bank Ltd</t>
  </si>
  <si>
    <t xml:space="preserve">Purchase Trxn.Ref.No.251617695211HDFC Bank Ltd</t>
  </si>
  <si>
    <t xml:space="preserve">Purchase Trxn.Ref.No.251907838539HDFC Bank Ltd</t>
  </si>
  <si>
    <t xml:space="preserve">Purchase Trxn.Ref.No.252740979665HDFC Bank Ltd</t>
  </si>
  <si>
    <t xml:space="preserve">Purchase Trxn.Ref.No.253658229959HDFC Bank Ltd</t>
  </si>
  <si>
    <t xml:space="preserve">Purchase Trxn.Ref.No.233616458823HDFC Bank Ltd</t>
  </si>
  <si>
    <t xml:space="preserve">Purchase Trxn.Ref.No.241947087293HDFC Bank Ltd</t>
  </si>
  <si>
    <t xml:space="preserve">Purchase Trxn.Ref.No.251265702660HDFC Bank Ltd</t>
  </si>
  <si>
    <t xml:space="preserve">Purchase Trxn.Ref.No.251617697284HDFC Bank Ltd</t>
  </si>
  <si>
    <t xml:space="preserve">Purchase Trxn.Ref.No.252063575553HDFC Bank Ltd</t>
  </si>
  <si>
    <t xml:space="preserve">Purchase Trxn.Ref.No.252249394233HDFC Bank Ltd</t>
  </si>
  <si>
    <t xml:space="preserve">Purchase Trxn.Ref.No.252680374711HDFC Bank Ltd</t>
  </si>
  <si>
    <t xml:space="preserve">Purchase Trxn.Ref.No.253165006035HDFC Bank Ltd</t>
  </si>
  <si>
    <t xml:space="preserve">Purchase Trxn.Ref.No.253467767918HDFC Bank Ltd</t>
  </si>
  <si>
    <t xml:space="preserve">Purchase Trxn.Ref.No.260479009567HDFC Bank Ltd</t>
  </si>
  <si>
    <t xml:space="preserve">Purchase Trxn.Ref.No.2693705400004/HDFC BANK</t>
  </si>
  <si>
    <t xml:space="preserve">Purchase Trxn.Ref.No.2693709100145HDFC Bank Ltd</t>
  </si>
  <si>
    <t xml:space="preserve">NO TRANSACTION RECORDS IN SOURCE CAS — folio shows a balance but no purchase/redemption history</t>
  </si>
  <si>
    <t xml:space="preserve">EXITED / FULLY REDEEMED FOLIOS (no current holding — final cash flow is the last redemption)</t>
  </si>
  <si>
    <t xml:space="preserve">HDFC Value Fund - Regular Plan - Growth (formerly HDFC Capital Builder Fund)</t>
  </si>
  <si>
    <t xml:space="preserve">Large &amp; Mid Cap (Value)</t>
  </si>
  <si>
    <t xml:space="preserve">Redemption  - Direct Credit - HDFC- via MFCentral - 1056887441 less TDS,STT</t>
  </si>
  <si>
    <t xml:space="preserve">Kotak Multicap Fund Direct Plan - Growth</t>
  </si>
  <si>
    <t xml:space="preserve">Multi Cap</t>
  </si>
  <si>
    <t xml:space="preserve">Purchase - via Internet</t>
  </si>
  <si>
    <t xml:space="preserve">Redemption - Electronic Payment- via MFCentral - FCM-250508GJSUP7 less STT</t>
  </si>
  <si>
    <t xml:space="preserve">quant Multi Cap Fund - Direct Plan - Growth</t>
  </si>
  <si>
    <t xml:space="preserve">New Purchase Trxn.Ref.No.232488176143HDFC Bank Ltd</t>
  </si>
  <si>
    <t xml:space="preserve">Additional Purchase Trxn.Ref.No.232709129002HDFC Bank Ltd</t>
  </si>
  <si>
    <t xml:space="preserve">Additional Purchase Trxn.Ref.No.240958711626HDFC Bank Ltd</t>
  </si>
  <si>
    <t xml:space="preserve">Additional Purchase Trxn.Ref.No.241233325364HDFC Bank Ltd</t>
  </si>
  <si>
    <t xml:space="preserve">Systematic Withdrawal</t>
  </si>
  <si>
    <t xml:space="preserve">Additional Purchase Trxn.Ref.No.242636848038HDFC Bank Ltd</t>
  </si>
  <si>
    <t xml:space="preserve">Redemption</t>
  </si>
  <si>
    <t xml:space="preserve">Additional Purchase Trxn.Ref.No.251545409155HDFC Bank Ltd</t>
  </si>
  <si>
    <t xml:space="preserve">PORTFOLIO-LEVEL CASH FLOWS (sorted by date) — feeds the blended Portfolio XIRR on the Summary tab. Excludes Axis Mid Cap (no transaction data) and fully-exited folios (already realized).</t>
  </si>
  <si>
    <t xml:space="preserve">Cash Flow (₹)</t>
  </si>
  <si>
    <t xml:space="preserve">Source row</t>
  </si>
  <si>
    <t xml:space="preserve">Transactions!I9</t>
  </si>
  <si>
    <t xml:space="preserve">Transactions!I10</t>
  </si>
  <si>
    <t xml:space="preserve">Transactions!I11</t>
  </si>
  <si>
    <t xml:space="preserve">Transactions!I12</t>
  </si>
  <si>
    <t xml:space="preserve">Transactions!I13</t>
  </si>
  <si>
    <t xml:space="preserve">Transactions!I5</t>
  </si>
  <si>
    <t xml:space="preserve">Transactions!I75</t>
  </si>
  <si>
    <t xml:space="preserve">Transactions!I14</t>
  </si>
  <si>
    <t xml:space="preserve">Transactions!I55</t>
  </si>
  <si>
    <t xml:space="preserve">Transactions!I64</t>
  </si>
  <si>
    <t xml:space="preserve">Transactions!I15</t>
  </si>
  <si>
    <t xml:space="preserve">Transactions!I16</t>
  </si>
  <si>
    <t xml:space="preserve">Transactions!I17</t>
  </si>
  <si>
    <t xml:space="preserve">Transactions!I58</t>
  </si>
  <si>
    <t xml:space="preserve">Transactions!I18</t>
  </si>
  <si>
    <t xml:space="preserve">Transactions!I6</t>
  </si>
  <si>
    <t xml:space="preserve">Transactions!I19</t>
  </si>
  <si>
    <t xml:space="preserve">Transactions!I20</t>
  </si>
  <si>
    <t xml:space="preserve">Transactions!I76</t>
  </si>
  <si>
    <t xml:space="preserve">Transactions!I21</t>
  </si>
  <si>
    <t xml:space="preserve">Transactions!I22</t>
  </si>
  <si>
    <t xml:space="preserve">Transactions!I23</t>
  </si>
  <si>
    <t xml:space="preserve">Transactions!I24</t>
  </si>
  <si>
    <t xml:space="preserve">Transactions!I25</t>
  </si>
  <si>
    <t xml:space="preserve">Transactions!I26</t>
  </si>
  <si>
    <t xml:space="preserve">Transactions!I56</t>
  </si>
  <si>
    <t xml:space="preserve">Transactions!I65</t>
  </si>
  <si>
    <t xml:space="preserve">Transactions!I27</t>
  </si>
  <si>
    <t xml:space="preserve">Transactions!I7</t>
  </si>
  <si>
    <t xml:space="preserve">Transactions!I28</t>
  </si>
  <si>
    <t xml:space="preserve">Transactions!I66</t>
  </si>
  <si>
    <t xml:space="preserve">Transactions!I29</t>
  </si>
  <si>
    <t xml:space="preserve">Transactions!I30</t>
  </si>
  <si>
    <t xml:space="preserve">Transactions!I77</t>
  </si>
  <si>
    <t xml:space="preserve">Transactions!I49</t>
  </si>
  <si>
    <t xml:space="preserve">Transactions!I67</t>
  </si>
  <si>
    <t xml:space="preserve">Transactions!I50</t>
  </si>
  <si>
    <t xml:space="preserve">Transactions!I51</t>
  </si>
  <si>
    <t xml:space="preserve">Transactions!I68</t>
  </si>
  <si>
    <t xml:space="preserve">Transactions!I52</t>
  </si>
  <si>
    <t xml:space="preserve">Transactions!I69</t>
  </si>
  <si>
    <t xml:space="preserve">Transactions!I31</t>
  </si>
  <si>
    <t xml:space="preserve">Transactions!I32</t>
  </si>
  <si>
    <t xml:space="preserve">Transactions!I53</t>
  </si>
  <si>
    <t xml:space="preserve">Transactions!I70</t>
  </si>
  <si>
    <t xml:space="preserve">Transactions!I78</t>
  </si>
  <si>
    <t xml:space="preserve">Transactions!I33</t>
  </si>
  <si>
    <t xml:space="preserve">Transactions!I71</t>
  </si>
  <si>
    <t xml:space="preserve">Transactions!I34</t>
  </si>
  <si>
    <t xml:space="preserve">Transactions!I79</t>
  </si>
  <si>
    <t xml:space="preserve">Transactions!I35</t>
  </si>
  <si>
    <t xml:space="preserve">Transactions!I80</t>
  </si>
  <si>
    <t xml:space="preserve">Transactions!I36</t>
  </si>
  <si>
    <t xml:space="preserve">Transactions!I81</t>
  </si>
  <si>
    <t xml:space="preserve">Transactions!I37</t>
  </si>
  <si>
    <t xml:space="preserve">Transactions!I72</t>
  </si>
  <si>
    <t xml:space="preserve">Transactions!I38</t>
  </si>
  <si>
    <t xml:space="preserve">Transactions!I82</t>
  </si>
  <si>
    <t xml:space="preserve">Transactions!I39</t>
  </si>
  <si>
    <t xml:space="preserve">Transactions!I83</t>
  </si>
  <si>
    <t xml:space="preserve">Transactions!I40</t>
  </si>
  <si>
    <t xml:space="preserve">Transactions!I59</t>
  </si>
  <si>
    <t xml:space="preserve">Transactions!I73</t>
  </si>
  <si>
    <t xml:space="preserve">Transactions!I41</t>
  </si>
  <si>
    <t xml:space="preserve">Transactions!I84</t>
  </si>
  <si>
    <t xml:space="preserve">Transactions!I85</t>
  </si>
  <si>
    <t xml:space="preserve">Transactions!I42</t>
  </si>
  <si>
    <t xml:space="preserve">Transactions!I60</t>
  </si>
  <si>
    <t xml:space="preserve">Transactions!I61</t>
  </si>
  <si>
    <t xml:space="preserve">Transactions!I86</t>
  </si>
  <si>
    <t xml:space="preserve">Transactions!I43</t>
  </si>
  <si>
    <t xml:space="preserve">Transactions!I44</t>
  </si>
  <si>
    <t xml:space="preserve">Transactions!I62</t>
  </si>
  <si>
    <t xml:space="preserve">Transactions!I45</t>
  </si>
  <si>
    <t xml:space="preserve">Transactions!I46</t>
  </si>
  <si>
    <t xml:space="preserve">Transactions!I47</t>
  </si>
  <si>
    <t xml:space="preserve">Transactions!I8</t>
  </si>
  <si>
    <t xml:space="preserve">Transactions!I48</t>
  </si>
  <si>
    <t xml:space="preserve">Transactions!I54</t>
  </si>
  <si>
    <t xml:space="preserve">Transactions!I57</t>
  </si>
  <si>
    <t xml:space="preserve">Transactions!I63</t>
  </si>
  <si>
    <t xml:space="preserve">Transactions!I74</t>
  </si>
  <si>
    <t xml:space="preserve">Transactions!I87</t>
  </si>
  <si>
    <t xml:space="preserve">NAV Reference Points Behind the Trailing Returns</t>
  </si>
  <si>
    <t xml:space="preserve">Source: mfapi.in (AMFI-mandated daily NAV history), fetched 01-Aug-2026. Current NAV/unit = CAS current value ÷ units (as of 01-Aug-2026), not mfapi's latest print (which lagged by several weeks at fetch time).</t>
  </si>
  <si>
    <t xml:space="preserve">Current NAV/unit</t>
  </si>
  <si>
    <t xml:space="preserve">3M-ago date</t>
  </si>
  <si>
    <t xml:space="preserve">3M-ago NAV</t>
  </si>
  <si>
    <t xml:space="preserve">6M-ago date</t>
  </si>
  <si>
    <t xml:space="preserve">6M-ago NAV</t>
  </si>
  <si>
    <t xml:space="preserve">1Y-ago date</t>
  </si>
  <si>
    <t xml:space="preserve">1Y-ago NAV</t>
  </si>
  <si>
    <t xml:space="preserve">3Y-ago date</t>
  </si>
  <si>
    <t xml:space="preserve">3Y-ago NAV</t>
  </si>
  <si>
    <t xml:space="preserve">5Y-ago date</t>
  </si>
  <si>
    <t xml:space="preserve">5Y-ago NAV</t>
  </si>
  <si>
    <t xml:space="preserve">Fully Redeemed Folios (realized gain/loss)</t>
  </si>
  <si>
    <t xml:space="preserve">These three folios were fully exited during the statement period. Invested/Redeemed pull via SUMIFS from the Transactions tab.</t>
  </si>
  <si>
    <t xml:space="preserve">Plan</t>
  </si>
  <si>
    <t xml:space="preserve">Total Invested (₹)</t>
  </si>
  <si>
    <t xml:space="preserve">Total Redeemed (₹)</t>
  </si>
  <si>
    <t xml:space="preserve">Realized Gain/Loss (₹)</t>
  </si>
  <si>
    <t xml:space="preserve">Holding Period</t>
  </si>
  <si>
    <t xml:space="preserve">Regular</t>
  </si>
  <si>
    <t xml:space="preserve">2025-05-06 to 2025-05-06</t>
  </si>
  <si>
    <t xml:space="preserve">Direct</t>
  </si>
  <si>
    <t xml:space="preserve">2024-12-16 to 2025-05-06</t>
  </si>
  <si>
    <t xml:space="preserve">2023-09-05 to 2026-02-06</t>
  </si>
  <si>
    <t xml:space="preserve">TOTAL</t>
  </si>
  <si>
    <t xml:space="preserve">Data Quality Notes &amp; Methodology</t>
  </si>
  <si>
    <t xml:space="preserve">GAPS FOUND IN THE SOURCE CAS</t>
  </si>
  <si>
    <t xml:space="preserve">-  Axis Mid Cap Fund - Direct Growth (Folio 910116656423): the Portfolio Details tab shows Rs.9,45,542 invested / Rs.16,02,376 current value, but the Transaction Details tab has ZERO rows for this folio. Cause unknown (possibly a switch-in, transfer, or a CAS export limited to one RTA). XIRR cannot be computed; only the CAS's own invested/current figures are used, giving a simple absolute return of +69.5% since an unknown start date.</t>
  </si>
  <si>
    <t xml:space="preserve">-  HDFC Small Cap Fund - Direct Growth Plan (Folio 15045815): only Rs.5,99,970 of the Rs.9,83,602 invested value (about 61%) is backed by transaction rows in the source file. The XIRR shown (Holdings &amp; Returns tab) uses only the available transactions plus the full current value, so it is directionally right but likely OVERSTATED — flagged with a comment on that cell.</t>
  </si>
  <si>
    <t xml:space="preserve">-  quant Multi Asset Allocation Fund - Direct Plan - Growth: the CAS Category column labels this fund 'DEBT'. It is actually a multi-asset hybrid (equity + debt + gold/commodities). This workbook reclassifies it as 'Multi-Asset' throughout — the CAS's own category field should not be trusted for this scheme.</t>
  </si>
  <si>
    <t xml:space="preserve">-  mfapi.in's latest available NAV for these schemes at fetch time (01-Aug-2026) lagged the statement date by 3-8 weeks. To keep 'now' consistent with the CAS, every trailing-return calculation anchors the current side on the CAS's current value / units, not on mfapi's most recent NAV print — only the historical (3M/6M/1Y/3Y/5Y-ago) NAV points come from mfapi.</t>
  </si>
  <si>
    <t xml:space="preserve">METHODOLOGY</t>
  </si>
  <si>
    <t xml:space="preserve">-  XIRR (Holdings &amp; Returns, Summary): native Excel =XIRR() over each fund's actual purchase/redemption cash flows (Transactions tab) plus one final 'valuation' cash flow equal to current holding value on 01-Aug-2026. Purchases are negative cash flows, redemptions/valuation are positive.</t>
  </si>
  <si>
    <t xml:space="preserve">-  Portfolio XIRR (Summary tab): computed the same way over the combined cash-flow log of the 7 funds that have complete or partial transaction records — Axis Mid Cap is excluded because including its current value with no matching outflow would fabricate a return. This means the portfolio XIRR covers ~90.5% of total invested capital (Rs.90.09 lakh of Rs.99.54 lakh).</t>
  </si>
  <si>
    <t xml:space="preserve">-  3M / 6M returns: simple point-to-point NAV change, (current NAV / NAV N days ago) - 1. Not annualised, matching standard fund-factsheet convention.</t>
  </si>
  <si>
    <t xml:space="preserve">-  1Y / 3Y / 5Y returns: annualised (CAGR), (current NAV / NAV N years ago) ^ (365/days) - 1.</t>
  </si>
  <si>
    <t xml:space="preserve">-  'Total Return %' column (Holdings &amp; Returns): simple (Current Value - Invested Value) / Invested Value from the CAS figures directly — reliable regardless of any transaction-history gaps, since it only needs the two endpoint values.</t>
  </si>
  <si>
    <t xml:space="preserve">-  Realized gain/loss (Exited Positions): Total Redeemed - Total Invested, both pulled from the cleaned Transactions tab via SUMIFS.</t>
  </si>
  <si>
    <t xml:space="preserve">RECOMMENDED NEXT STEP</t>
  </si>
  <si>
    <t xml:space="preserve">Download a combined CAMS + KFinTech CAS covering 'since inception' from mfcentral.com (Consolidated Account Statement, all-mutual-fund option) and re-run this workbook's data-prep step — that should close the Axis Mid Cap and HDFC Small Cap gaps and make every XIRR figure fully reliable.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</si>
</sst>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;\(#,##0\);\-"/>
    <numFmt numFmtId="166" formatCode="0.0%;\(0.0%\);\-"/>
    <numFmt numFmtId="167" formatCode="0"/>
    <numFmt numFmtId="168" formatCode="dd\-mmm\-yyyy"/>
    <numFmt numFmtId="169" formatCode="#,##0.0000"/>
    <numFmt numFmtId="170" formatCode="#,##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8"/>
      <color rgb="FFC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11"/>
      <color rgb="FFC0000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1"/>
      <color rgb="FF1F3864"/>
      <name val="Arial"/>
      <family val="0"/>
      <charset val="1"/>
    </font>
    <font>
      <sz val="8"/>
      <color rgb="FF80808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2F3"/>
        <bgColor rgb="FFE2EFDA"/>
      </patternFill>
    </fill>
    <fill>
      <patternFill patternType="solid">
        <fgColor rgb="FFFCE4EC"/>
        <bgColor rgb="FFFFF2CC"/>
      </patternFill>
    </fill>
    <fill>
      <patternFill patternType="solid">
        <fgColor rgb="FFBDD7EE"/>
        <bgColor rgb="FFD9E2F3"/>
      </patternFill>
    </fill>
    <fill>
      <patternFill patternType="solid">
        <fgColor rgb="FFE2EFDA"/>
        <bgColor rgb="FFD9E2F3"/>
      </patternFill>
    </fill>
    <fill>
      <patternFill patternType="solid">
        <fgColor rgb="FFFFF2CC"/>
        <bgColor rgb="FFFCE4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7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2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9E2F3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14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8" min="6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/>
      <c r="C4" s="3"/>
      <c r="D4" s="3"/>
    </row>
    <row r="5" customFormat="false" ht="15" hidden="false" customHeight="false" outlineLevel="0" collapsed="false">
      <c r="A5" s="4" t="s">
        <v>3</v>
      </c>
      <c r="B5" s="4"/>
      <c r="C5" s="4"/>
      <c r="D5" s="5" t="n">
        <f aca="false">'Holdings &amp; Returns'!F13</f>
        <v>9954143.36</v>
      </c>
    </row>
    <row r="6" customFormat="false" ht="15" hidden="false" customHeight="false" outlineLevel="0" collapsed="false">
      <c r="A6" s="4" t="s">
        <v>4</v>
      </c>
      <c r="B6" s="4"/>
      <c r="C6" s="4"/>
      <c r="D6" s="5" t="n">
        <f aca="false">'Holdings &amp; Returns'!G13</f>
        <v>11826022.78</v>
      </c>
    </row>
    <row r="7" customFormat="false" ht="15" hidden="false" customHeight="false" outlineLevel="0" collapsed="false">
      <c r="A7" s="4" t="s">
        <v>5</v>
      </c>
      <c r="B7" s="4"/>
      <c r="C7" s="4"/>
      <c r="D7" s="5" t="n">
        <f aca="false">D6-D5</f>
        <v>1871879.42</v>
      </c>
    </row>
    <row r="8" customFormat="false" ht="15" hidden="false" customHeight="false" outlineLevel="0" collapsed="false">
      <c r="A8" s="4" t="s">
        <v>6</v>
      </c>
      <c r="B8" s="4"/>
      <c r="C8" s="4"/>
      <c r="D8" s="6" t="n">
        <f aca="false">D7/D5</f>
        <v>0.188050277387205</v>
      </c>
    </row>
    <row r="9" customFormat="false" ht="15" hidden="false" customHeight="false" outlineLevel="0" collapsed="false">
      <c r="A9" s="4" t="s">
        <v>7</v>
      </c>
      <c r="B9" s="4"/>
      <c r="C9" s="4"/>
      <c r="D9" s="6" t="n">
        <f aca="false">XIRR(Transactions!B108:B190,Transactions!A108:A190)</f>
        <v>0.141663834914335</v>
      </c>
    </row>
    <row r="10" customFormat="false" ht="15" hidden="false" customHeight="false" outlineLevel="0" collapsed="false">
      <c r="A10" s="4" t="s">
        <v>8</v>
      </c>
      <c r="B10" s="4"/>
      <c r="C10" s="4"/>
      <c r="D10" s="7" t="n">
        <f aca="false">COUNTA('Holdings &amp; Returns'!A5:A12)</f>
        <v>8</v>
      </c>
    </row>
    <row r="11" customFormat="false" ht="15" hidden="false" customHeight="false" outlineLevel="0" collapsed="false">
      <c r="A11" s="4" t="s">
        <v>9</v>
      </c>
      <c r="B11" s="4"/>
      <c r="C11" s="4"/>
      <c r="D11" s="7" t="n">
        <v>7</v>
      </c>
    </row>
    <row r="12" customFormat="false" ht="15" hidden="false" customHeight="false" outlineLevel="0" collapsed="false">
      <c r="A12" s="4" t="s">
        <v>10</v>
      </c>
      <c r="B12" s="4"/>
      <c r="C12" s="4"/>
      <c r="D12" s="5" t="n">
        <f aca="false">'Exited Positions'!G8</f>
        <v>-9492.60999999987</v>
      </c>
    </row>
    <row r="13" customFormat="false" ht="15" hidden="false" customHeight="false" outlineLevel="0" collapsed="false">
      <c r="A13" s="8" t="s">
        <v>11</v>
      </c>
      <c r="B13" s="8"/>
      <c r="C13" s="8"/>
      <c r="D13" s="8"/>
      <c r="E13" s="8"/>
      <c r="F13" s="8"/>
      <c r="G13" s="8"/>
      <c r="H13" s="8"/>
    </row>
    <row r="15" customFormat="false" ht="15" hidden="false" customHeight="false" outlineLevel="0" collapsed="false">
      <c r="A15" s="3" t="s">
        <v>12</v>
      </c>
      <c r="B15" s="3"/>
      <c r="C15" s="3"/>
      <c r="D15" s="3"/>
    </row>
    <row r="16" customFormat="false" ht="15" hidden="false" customHeight="false" outlineLevel="0" collapsed="false">
      <c r="A16" s="9" t="s">
        <v>13</v>
      </c>
      <c r="B16" s="9"/>
      <c r="C16" s="9"/>
      <c r="D16" s="9"/>
      <c r="E16" s="9"/>
      <c r="F16" s="9"/>
      <c r="G16" s="9"/>
      <c r="H16" s="9"/>
    </row>
    <row r="17" customFormat="false" ht="15" hidden="false" customHeight="false" outlineLevel="0" collapsed="false">
      <c r="A17" s="9" t="s">
        <v>14</v>
      </c>
      <c r="B17" s="9"/>
      <c r="C17" s="9"/>
      <c r="D17" s="9"/>
      <c r="E17" s="9"/>
      <c r="F17" s="9"/>
      <c r="G17" s="9"/>
      <c r="H17" s="9"/>
    </row>
    <row r="18" customFormat="false" ht="15" hidden="false" customHeight="false" outlineLevel="0" collapsed="false">
      <c r="A18" s="9" t="s">
        <v>15</v>
      </c>
      <c r="B18" s="9"/>
      <c r="C18" s="9"/>
      <c r="D18" s="9"/>
      <c r="E18" s="9"/>
      <c r="F18" s="9"/>
      <c r="G18" s="9"/>
      <c r="H18" s="9"/>
    </row>
    <row r="19" customFormat="false" ht="15" hidden="false" customHeight="false" outlineLevel="0" collapsed="false">
      <c r="A19" s="9" t="s">
        <v>16</v>
      </c>
      <c r="B19" s="9"/>
      <c r="C19" s="9"/>
      <c r="D19" s="9"/>
      <c r="E19" s="9"/>
      <c r="F19" s="9"/>
      <c r="G19" s="9"/>
      <c r="H19" s="9"/>
    </row>
    <row r="20" customFormat="false" ht="15" hidden="false" customHeight="false" outlineLevel="0" collapsed="false">
      <c r="A20" s="9" t="s">
        <v>17</v>
      </c>
      <c r="B20" s="9"/>
      <c r="C20" s="9"/>
      <c r="D20" s="9"/>
      <c r="E20" s="9"/>
      <c r="F20" s="9"/>
      <c r="G20" s="9"/>
      <c r="H20" s="9"/>
    </row>
    <row r="21" customFormat="false" ht="15" hidden="false" customHeight="false" outlineLevel="0" collapsed="false">
      <c r="A21" s="9" t="s">
        <v>18</v>
      </c>
      <c r="B21" s="9"/>
      <c r="C21" s="9"/>
      <c r="D21" s="9"/>
      <c r="E21" s="9"/>
      <c r="F21" s="9"/>
      <c r="G21" s="9"/>
      <c r="H21" s="9"/>
    </row>
  </sheetData>
  <mergeCells count="19">
    <mergeCell ref="A1:H1"/>
    <mergeCell ref="A2:H2"/>
    <mergeCell ref="A4:D4"/>
    <mergeCell ref="A5:C5"/>
    <mergeCell ref="A6:C6"/>
    <mergeCell ref="A7:C7"/>
    <mergeCell ref="A8:C8"/>
    <mergeCell ref="A9:C9"/>
    <mergeCell ref="A10:C10"/>
    <mergeCell ref="A11:C11"/>
    <mergeCell ref="A12:C12"/>
    <mergeCell ref="A13:H13"/>
    <mergeCell ref="A15:D15"/>
    <mergeCell ref="A16:H16"/>
    <mergeCell ref="A17:H17"/>
    <mergeCell ref="A18:H18"/>
    <mergeCell ref="A19:H19"/>
    <mergeCell ref="A20:H20"/>
    <mergeCell ref="A21:H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20"/>
    <col collapsed="false" customWidth="true" hidden="false" outlineLevel="0" max="3" min="3" style="0" width="12"/>
    <col collapsed="false" customWidth="true" hidden="false" outlineLevel="0" max="4" min="4" style="0" width="20"/>
    <col collapsed="false" customWidth="true" hidden="false" outlineLevel="0" max="7" min="5" style="0" width="14"/>
    <col collapsed="false" customWidth="true" hidden="false" outlineLevel="0" max="8" min="8" style="0" width="13"/>
    <col collapsed="false" customWidth="true" hidden="false" outlineLevel="0" max="9" min="9" style="0" width="12"/>
    <col collapsed="false" customWidth="true" hidden="false" outlineLevel="0" max="11" min="10" style="0" width="10"/>
    <col collapsed="false" customWidth="true" hidden="false" outlineLevel="0" max="13" min="12" style="0" width="9"/>
    <col collapsed="false" customWidth="true" hidden="false" outlineLevel="0" max="16" min="14" style="0" width="12"/>
  </cols>
  <sheetData>
    <row r="1" customFormat="false" ht="27.75" hidden="false" customHeight="true" outlineLevel="0" collapsed="false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customFormat="false" ht="15" hidden="false" customHeight="false" outlineLevel="0" collapsed="false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customFormat="false" ht="31.5" hidden="false" customHeight="true" outlineLevel="0" collapsed="false">
      <c r="A4" s="10" t="s">
        <v>21</v>
      </c>
      <c r="B4" s="10" t="s">
        <v>22</v>
      </c>
      <c r="C4" s="10" t="s">
        <v>23</v>
      </c>
      <c r="D4" s="10" t="s">
        <v>24</v>
      </c>
      <c r="E4" s="10" t="s">
        <v>25</v>
      </c>
      <c r="F4" s="10" t="s">
        <v>26</v>
      </c>
      <c r="G4" s="10" t="s">
        <v>27</v>
      </c>
      <c r="H4" s="10" t="s">
        <v>28</v>
      </c>
      <c r="I4" s="10" t="s">
        <v>29</v>
      </c>
      <c r="J4" s="10" t="s">
        <v>30</v>
      </c>
      <c r="K4" s="10" t="s">
        <v>31</v>
      </c>
      <c r="L4" s="10" t="s">
        <v>32</v>
      </c>
      <c r="M4" s="10" t="s">
        <v>33</v>
      </c>
      <c r="N4" s="10" t="s">
        <v>34</v>
      </c>
      <c r="O4" s="10" t="s">
        <v>35</v>
      </c>
      <c r="P4" s="10" t="s">
        <v>36</v>
      </c>
    </row>
    <row r="5" customFormat="false" ht="15" hidden="false" customHeight="false" outlineLevel="0" collapsed="false">
      <c r="A5" s="11" t="s">
        <v>37</v>
      </c>
      <c r="B5" s="11" t="s">
        <v>38</v>
      </c>
      <c r="C5" s="11" t="s">
        <v>39</v>
      </c>
      <c r="D5" s="11" t="s">
        <v>40</v>
      </c>
      <c r="E5" s="11" t="s">
        <v>41</v>
      </c>
      <c r="F5" s="12" t="n">
        <v>983601.71</v>
      </c>
      <c r="G5" s="12" t="n">
        <v>1292792.66</v>
      </c>
      <c r="H5" s="13" t="n">
        <f aca="false">G5-F5</f>
        <v>309190.95</v>
      </c>
      <c r="I5" s="14" t="n">
        <f aca="false">IF(F5=0,"-",H5/F5)</f>
        <v>0.31434568164791</v>
      </c>
      <c r="J5" s="14" t="n">
        <f aca="false">G5/G$13</f>
        <v>0.109317619630021</v>
      </c>
      <c r="K5" s="14" t="n">
        <f aca="false">XIRR(Transactions!I5:I8,Transactions!D5:D8)</f>
        <v>0.428743028610952</v>
      </c>
      <c r="L5" s="14" t="n">
        <f aca="false">'NAV History (Source Data)'!D5/'NAV History (Source Data)'!F5-1</f>
        <v>0.0669356915373616</v>
      </c>
      <c r="M5" s="14" t="n">
        <f aca="false">'NAV History (Source Data)'!D5/'NAV History (Source Data)'!H5-1</f>
        <v>0.0513194456483415</v>
      </c>
      <c r="N5" s="14" t="n">
        <f aca="false">('NAV History (Source Data)'!D5/'NAV History (Source Data)'!J5)^(365/365)-1</f>
        <v>0.0122284480628403</v>
      </c>
      <c r="O5" s="14" t="n">
        <f aca="false">('NAV History (Source Data)'!D5/'NAV History (Source Data)'!L5)^(365/1095)-1</f>
        <v>0.130420222370308</v>
      </c>
      <c r="P5" s="14" t="n">
        <f aca="false">('NAV History (Source Data)'!D5/'NAV History (Source Data)'!N5)^(365/1825)-1</f>
        <v>0.155707676787631</v>
      </c>
    </row>
    <row r="6" customFormat="false" ht="15" hidden="false" customHeight="false" outlineLevel="0" collapsed="false">
      <c r="A6" s="11" t="s">
        <v>42</v>
      </c>
      <c r="B6" s="11" t="s">
        <v>43</v>
      </c>
      <c r="C6" s="11" t="s">
        <v>39</v>
      </c>
      <c r="D6" s="11" t="s">
        <v>44</v>
      </c>
      <c r="E6" s="11" t="s">
        <v>45</v>
      </c>
      <c r="F6" s="12" t="n">
        <v>1325000</v>
      </c>
      <c r="G6" s="12" t="n">
        <v>1591496.63</v>
      </c>
      <c r="H6" s="13" t="n">
        <f aca="false">G6-F6</f>
        <v>266496.63</v>
      </c>
      <c r="I6" s="14" t="n">
        <f aca="false">IF(F6=0,"-",H6/F6)</f>
        <v>0.201129532075472</v>
      </c>
      <c r="J6" s="14" t="n">
        <f aca="false">G6/G$13</f>
        <v>0.1345758129852</v>
      </c>
      <c r="K6" s="14" t="n">
        <f aca="false">XIRR(Transactions!I9:I48,Transactions!D9:D48)</f>
        <v>0.13788566924362</v>
      </c>
      <c r="L6" s="14" t="n">
        <f aca="false">'NAV History (Source Data)'!D6/'NAV History (Source Data)'!F6-1</f>
        <v>0.0632888512401761</v>
      </c>
      <c r="M6" s="14" t="n">
        <f aca="false">'NAV History (Source Data)'!D6/'NAV History (Source Data)'!H6-1</f>
        <v>0.111127746934519</v>
      </c>
      <c r="N6" s="14" t="n">
        <f aca="false">('NAV History (Source Data)'!D6/'NAV History (Source Data)'!J6)^(365/365)-1</f>
        <v>0.0949536799980151</v>
      </c>
      <c r="O6" s="14" t="n">
        <f aca="false">('NAV History (Source Data)'!D6/'NAV History (Source Data)'!L6)^(365/1095)-1</f>
        <v>0.201801102737287</v>
      </c>
      <c r="P6" s="14" t="n">
        <f aca="false">('NAV History (Source Data)'!D6/'NAV History (Source Data)'!N6)^(365/1825)-1</f>
        <v>0.177012861341912</v>
      </c>
    </row>
    <row r="7" customFormat="false" ht="15" hidden="false" customHeight="false" outlineLevel="0" collapsed="false">
      <c r="A7" s="11" t="s">
        <v>46</v>
      </c>
      <c r="B7" s="11" t="s">
        <v>47</v>
      </c>
      <c r="C7" s="11" t="s">
        <v>39</v>
      </c>
      <c r="D7" s="11" t="s">
        <v>48</v>
      </c>
      <c r="E7" s="11" t="s">
        <v>49</v>
      </c>
      <c r="F7" s="12" t="n">
        <v>1000000</v>
      </c>
      <c r="G7" s="12" t="n">
        <v>1021047.9</v>
      </c>
      <c r="H7" s="13" t="n">
        <f aca="false">G7-F7</f>
        <v>21047.9</v>
      </c>
      <c r="I7" s="14" t="n">
        <f aca="false">IF(F7=0,"-",H7/F7)</f>
        <v>0.0210479</v>
      </c>
      <c r="J7" s="14" t="n">
        <f aca="false">G7/G$13</f>
        <v>0.0863390777266878</v>
      </c>
      <c r="K7" s="14" t="n">
        <f aca="false">XIRR(Transactions!I49:I54,Transactions!D49:D54)</f>
        <v>0.0177561715564294</v>
      </c>
      <c r="L7" s="14" t="n">
        <f aca="false">'NAV History (Source Data)'!D7/'NAV History (Source Data)'!F7-1</f>
        <v>0.00835248073260519</v>
      </c>
      <c r="M7" s="14" t="n">
        <f aca="false">'NAV History (Source Data)'!D7/'NAV History (Source Data)'!H7-1</f>
        <v>-0.0157023259263601</v>
      </c>
      <c r="N7" s="14" t="n">
        <f aca="false">('NAV History (Source Data)'!D7/'NAV History (Source Data)'!J7)^(365/365)-1</f>
        <v>0.00791085135667813</v>
      </c>
      <c r="O7" s="14" t="n">
        <f aca="false">('NAV History (Source Data)'!D7/'NAV History (Source Data)'!L7)^(365/1095)-1</f>
        <v>0.147871941108873</v>
      </c>
      <c r="P7" s="14" t="n">
        <f aca="false">('NAV History (Source Data)'!D7/'NAV History (Source Data)'!N7)^(365/1825)-1</f>
        <v>0.137178246360191</v>
      </c>
    </row>
    <row r="8" customFormat="false" ht="15" hidden="false" customHeight="false" outlineLevel="0" collapsed="false">
      <c r="A8" s="11" t="s">
        <v>50</v>
      </c>
      <c r="B8" s="11" t="s">
        <v>51</v>
      </c>
      <c r="C8" s="11" t="s">
        <v>39</v>
      </c>
      <c r="D8" s="11" t="s">
        <v>52</v>
      </c>
      <c r="E8" s="11" t="s">
        <v>53</v>
      </c>
      <c r="F8" s="12" t="n">
        <v>400000</v>
      </c>
      <c r="G8" s="12" t="n">
        <v>461915.1</v>
      </c>
      <c r="H8" s="13" t="n">
        <f aca="false">G8-F8</f>
        <v>61915.1</v>
      </c>
      <c r="I8" s="14" t="n">
        <f aca="false">IF(F8=0,"-",H8/F8)</f>
        <v>0.15478775</v>
      </c>
      <c r="J8" s="14" t="n">
        <f aca="false">G8/G$13</f>
        <v>0.0390592093887375</v>
      </c>
      <c r="K8" s="14" t="n">
        <f aca="false">XIRR(Transactions!I55:I57,Transactions!D55:D57)</f>
        <v>0.0712849339908023</v>
      </c>
      <c r="L8" s="14" t="n">
        <f aca="false">'NAV History (Source Data)'!D8/'NAV History (Source Data)'!F8-1</f>
        <v>0.0406852167286746</v>
      </c>
      <c r="M8" s="14" t="n">
        <f aca="false">'NAV History (Source Data)'!D8/'NAV History (Source Data)'!H8-1</f>
        <v>-0.00464227973998277</v>
      </c>
      <c r="N8" s="14" t="n">
        <f aca="false">('NAV History (Source Data)'!D8/'NAV History (Source Data)'!J8)^(365/365)-1</f>
        <v>0.0140492339942087</v>
      </c>
      <c r="O8" s="14" t="n">
        <f aca="false">('NAV History (Source Data)'!D8/'NAV History (Source Data)'!L8)^(365/1095)-1</f>
        <v>0.119919282689914</v>
      </c>
      <c r="P8" s="14" t="n">
        <f aca="false">('NAV History (Source Data)'!D8/'NAV History (Source Data)'!N8)^(365/1825)-1</f>
        <v>0.11343170877177</v>
      </c>
    </row>
    <row r="9" customFormat="false" ht="15" hidden="false" customHeight="false" outlineLevel="0" collapsed="false">
      <c r="A9" s="11" t="s">
        <v>54</v>
      </c>
      <c r="B9" s="11" t="s">
        <v>55</v>
      </c>
      <c r="C9" s="11" t="s">
        <v>56</v>
      </c>
      <c r="D9" s="11" t="s">
        <v>57</v>
      </c>
      <c r="E9" s="11" t="s">
        <v>58</v>
      </c>
      <c r="F9" s="12" t="n">
        <v>1000000</v>
      </c>
      <c r="G9" s="12" t="n">
        <v>1130434.8</v>
      </c>
      <c r="H9" s="13" t="n">
        <f aca="false">G9-F9</f>
        <v>130434.8</v>
      </c>
      <c r="I9" s="14" t="n">
        <f aca="false">IF(F9=0,"-",H9/F9)</f>
        <v>0.1304348</v>
      </c>
      <c r="J9" s="14" t="n">
        <f aca="false">G9/G$13</f>
        <v>0.0955887554953619</v>
      </c>
      <c r="K9" s="14" t="n">
        <f aca="false">XIRR(Transactions!I58:I63,Transactions!D58:D63)</f>
        <v>0.163964963402353</v>
      </c>
      <c r="L9" s="14" t="n">
        <f aca="false">'NAV History (Source Data)'!D9/'NAV History (Source Data)'!F9-1</f>
        <v>0.04304357308478</v>
      </c>
      <c r="M9" s="14" t="n">
        <f aca="false">'NAV History (Source Data)'!D9/'NAV History (Source Data)'!H9-1</f>
        <v>0.0424069195508281</v>
      </c>
      <c r="N9" s="14" t="n">
        <f aca="false">('NAV History (Source Data)'!D9/'NAV History (Source Data)'!J9)^(365/365)-1</f>
        <v>0.212826823691838</v>
      </c>
      <c r="O9" s="14" t="n">
        <f aca="false">('NAV History (Source Data)'!D9/'NAV History (Source Data)'!L9)^(365/1095)-1</f>
        <v>0.230211196629113</v>
      </c>
      <c r="P9" s="14" t="n">
        <f aca="false">('NAV History (Source Data)'!D9/'NAV History (Source Data)'!N9)^(365/1825)-1</f>
        <v>0.19587470383</v>
      </c>
    </row>
    <row r="10" customFormat="false" ht="15" hidden="false" customHeight="false" outlineLevel="0" collapsed="false">
      <c r="A10" s="11" t="s">
        <v>59</v>
      </c>
      <c r="B10" s="11" t="s">
        <v>60</v>
      </c>
      <c r="C10" s="11" t="s">
        <v>39</v>
      </c>
      <c r="D10" s="11" t="s">
        <v>52</v>
      </c>
      <c r="E10" s="11" t="s">
        <v>61</v>
      </c>
      <c r="F10" s="12" t="n">
        <v>2000000</v>
      </c>
      <c r="G10" s="12" t="n">
        <v>2123818.21</v>
      </c>
      <c r="H10" s="13" t="n">
        <f aca="false">G10-F10</f>
        <v>123818.21</v>
      </c>
      <c r="I10" s="14" t="n">
        <f aca="false">IF(F10=0,"-",H10/F10)</f>
        <v>0.061909105</v>
      </c>
      <c r="J10" s="14" t="n">
        <f aca="false">G10/G$13</f>
        <v>0.179588543799507</v>
      </c>
      <c r="K10" s="14" t="n">
        <f aca="false">XIRR(Transactions!I64:I74,Transactions!D64:D74)</f>
        <v>0.0481508783838082</v>
      </c>
      <c r="L10" s="14" t="n">
        <f aca="false">'NAV History (Source Data)'!D10/'NAV History (Source Data)'!F10-1</f>
        <v>0.0227332545357102</v>
      </c>
      <c r="M10" s="14" t="n">
        <f aca="false">'NAV History (Source Data)'!D10/'NAV History (Source Data)'!H10-1</f>
        <v>-0.00412968063264863</v>
      </c>
      <c r="N10" s="14" t="n">
        <f aca="false">('NAV History (Source Data)'!D10/'NAV History (Source Data)'!J10)^(365/365)-1</f>
        <v>0.019036886074757</v>
      </c>
      <c r="O10" s="14" t="n">
        <f aca="false">('NAV History (Source Data)'!D10/'NAV History (Source Data)'!L10)^(365/1095)-1</f>
        <v>0.133497313009929</v>
      </c>
      <c r="P10" s="14" t="n">
        <f aca="false">('NAV History (Source Data)'!D10/'NAV History (Source Data)'!N10)^(365/1825)-1</f>
        <v>0.158049231557882</v>
      </c>
    </row>
    <row r="11" customFormat="false" ht="15" hidden="false" customHeight="false" outlineLevel="0" collapsed="false">
      <c r="A11" s="11" t="s">
        <v>62</v>
      </c>
      <c r="B11" s="11" t="s">
        <v>60</v>
      </c>
      <c r="C11" s="11" t="s">
        <v>39</v>
      </c>
      <c r="D11" s="11" t="s">
        <v>44</v>
      </c>
      <c r="E11" s="11" t="s">
        <v>61</v>
      </c>
      <c r="F11" s="12" t="n">
        <v>2300000</v>
      </c>
      <c r="G11" s="12" t="n">
        <v>2602141.47</v>
      </c>
      <c r="H11" s="13" t="n">
        <f aca="false">G11-F11</f>
        <v>302141.47</v>
      </c>
      <c r="I11" s="14" t="n">
        <f aca="false">IF(F11=0,"-",H11/F11)</f>
        <v>0.131365856521739</v>
      </c>
      <c r="J11" s="14" t="n">
        <f aca="false">G11/G$13</f>
        <v>0.220035215423456</v>
      </c>
      <c r="K11" s="14" t="n">
        <f aca="false">XIRR(Transactions!I75:I87,Transactions!D75:D87)</f>
        <v>0.12416690461898</v>
      </c>
      <c r="L11" s="14" t="n">
        <f aca="false">'NAV History (Source Data)'!D11/'NAV History (Source Data)'!F11-1</f>
        <v>0.0505289000772911</v>
      </c>
      <c r="M11" s="14" t="n">
        <f aca="false">'NAV History (Source Data)'!D11/'NAV History (Source Data)'!H11-1</f>
        <v>0.0945086185533188</v>
      </c>
      <c r="N11" s="14" t="n">
        <f aca="false">('NAV History (Source Data)'!D11/'NAV History (Source Data)'!J11)^(365/365)-1</f>
        <v>0.12093186678276</v>
      </c>
      <c r="O11" s="14" t="n">
        <f aca="false">('NAV History (Source Data)'!D11/'NAV History (Source Data)'!L11)^(365/1095)-1</f>
        <v>0.219647597621332</v>
      </c>
      <c r="P11" s="14" t="n">
        <f aca="false">('NAV History (Source Data)'!D11/'NAV History (Source Data)'!N11)^(365/1825)-1</f>
        <v>0.195863848030596</v>
      </c>
    </row>
    <row r="12" customFormat="false" ht="15" hidden="false" customHeight="false" outlineLevel="0" collapsed="false">
      <c r="A12" s="11" t="s">
        <v>63</v>
      </c>
      <c r="B12" s="11" t="s">
        <v>64</v>
      </c>
      <c r="C12" s="11" t="s">
        <v>39</v>
      </c>
      <c r="D12" s="11" t="s">
        <v>44</v>
      </c>
      <c r="E12" s="11" t="s">
        <v>65</v>
      </c>
      <c r="F12" s="12" t="n">
        <v>945541.65</v>
      </c>
      <c r="G12" s="12" t="n">
        <v>1602376.01</v>
      </c>
      <c r="H12" s="13" t="n">
        <f aca="false">G12-F12</f>
        <v>656834.36</v>
      </c>
      <c r="I12" s="14" t="n">
        <f aca="false">IF(F12=0,"-",H12/F12)</f>
        <v>0.694664650679322</v>
      </c>
      <c r="J12" s="14" t="n">
        <f aca="false">G12/G$13</f>
        <v>0.135495765551028</v>
      </c>
      <c r="K12" s="15" t="s">
        <v>66</v>
      </c>
      <c r="L12" s="14" t="n">
        <f aca="false">'NAV History (Source Data)'!D12/'NAV History (Source Data)'!F12-1</f>
        <v>0.0596925812257869</v>
      </c>
      <c r="M12" s="14" t="n">
        <f aca="false">'NAV History (Source Data)'!D12/'NAV History (Source Data)'!H12-1</f>
        <v>0.103410766342009</v>
      </c>
      <c r="N12" s="14" t="n">
        <f aca="false">('NAV History (Source Data)'!D12/'NAV History (Source Data)'!J12)^(365/365)-1</f>
        <v>0.0934708941783182</v>
      </c>
      <c r="O12" s="14" t="n">
        <f aca="false">('NAV History (Source Data)'!D12/'NAV History (Source Data)'!L12)^(365/1095)-1</f>
        <v>0.180764361322668</v>
      </c>
      <c r="P12" s="14" t="n">
        <f aca="false">('NAV History (Source Data)'!D12/'NAV History (Source Data)'!N12)^(365/1825)-1</f>
        <v>0.145712931139649</v>
      </c>
    </row>
    <row r="13" customFormat="false" ht="15" hidden="false" customHeight="false" outlineLevel="0" collapsed="false">
      <c r="A13" s="16" t="s">
        <v>67</v>
      </c>
      <c r="B13" s="16"/>
      <c r="C13" s="16"/>
      <c r="D13" s="16"/>
      <c r="E13" s="16"/>
      <c r="F13" s="17" t="n">
        <f aca="false">SUM(F5:F12)</f>
        <v>9954143.36</v>
      </c>
      <c r="G13" s="17" t="n">
        <f aca="false">SUM(G5:G12)</f>
        <v>11826022.78</v>
      </c>
      <c r="H13" s="17" t="n">
        <f aca="false">G13-F13</f>
        <v>1871879.42</v>
      </c>
      <c r="I13" s="18" t="n">
        <f aca="false">H13/F13</f>
        <v>0.188050277387205</v>
      </c>
      <c r="J13" s="18" t="n">
        <f aca="false">SUM(J5:J12)</f>
        <v>1</v>
      </c>
      <c r="K13" s="16"/>
      <c r="L13" s="16"/>
      <c r="M13" s="16"/>
      <c r="N13" s="16"/>
      <c r="O13" s="16"/>
      <c r="P13" s="16"/>
    </row>
  </sheetData>
  <mergeCells count="3">
    <mergeCell ref="A1:P1"/>
    <mergeCell ref="A2:P2"/>
    <mergeCell ref="A13:E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0"/>
    <col collapsed="false" customWidth="true" hidden="false" outlineLevel="0" max="10" min="2" style="0" width="10"/>
  </cols>
  <sheetData>
    <row r="1" customFormat="false" ht="27.75" hidden="false" customHeight="true" outlineLevel="0" collapsed="false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69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15" hidden="false" customHeight="false" outlineLevel="0" collapsed="false">
      <c r="A4" s="3" t="s">
        <v>70</v>
      </c>
      <c r="B4" s="3"/>
      <c r="C4" s="3"/>
      <c r="D4" s="3"/>
      <c r="E4" s="3"/>
      <c r="F4" s="3"/>
      <c r="G4" s="3"/>
      <c r="H4" s="3"/>
      <c r="I4" s="3"/>
      <c r="J4" s="3"/>
    </row>
    <row r="5" customFormat="false" ht="21.75" hidden="false" customHeight="true" outlineLevel="0" collapsed="false">
      <c r="A5" s="10" t="s">
        <v>23</v>
      </c>
      <c r="B5" s="10" t="s">
        <v>27</v>
      </c>
      <c r="C5" s="10" t="s">
        <v>30</v>
      </c>
    </row>
    <row r="6" customFormat="false" ht="15" hidden="false" customHeight="false" outlineLevel="0" collapsed="false">
      <c r="A6" s="11" t="s">
        <v>39</v>
      </c>
      <c r="B6" s="13" t="n">
        <f aca="false">SUMIFS('Holdings &amp; Returns'!G:G,'Holdings &amp; Returns'!C:C,A6)</f>
        <v>10695587.98</v>
      </c>
      <c r="C6" s="14" t="n">
        <f aca="false">B6/'Holdings &amp; Returns'!$G$13</f>
        <v>0.904411244504638</v>
      </c>
    </row>
    <row r="7" customFormat="false" ht="15" hidden="false" customHeight="false" outlineLevel="0" collapsed="false">
      <c r="A7" s="11" t="s">
        <v>56</v>
      </c>
      <c r="B7" s="13" t="n">
        <f aca="false">SUMIFS('Holdings &amp; Returns'!G:G,'Holdings &amp; Returns'!C:C,A7)</f>
        <v>1130434.8</v>
      </c>
      <c r="C7" s="14" t="n">
        <f aca="false">B7/'Holdings &amp; Returns'!$G$13</f>
        <v>0.0955887554953619</v>
      </c>
    </row>
    <row r="9" customFormat="false" ht="15" hidden="false" customHeight="false" outlineLevel="0" collapsed="false">
      <c r="A9" s="3" t="s">
        <v>71</v>
      </c>
      <c r="B9" s="3"/>
      <c r="C9" s="3"/>
      <c r="D9" s="3"/>
      <c r="E9" s="3"/>
      <c r="F9" s="3"/>
      <c r="G9" s="3"/>
      <c r="H9" s="3"/>
      <c r="I9" s="3"/>
      <c r="J9" s="3"/>
    </row>
    <row r="10" customFormat="false" ht="21.75" hidden="false" customHeight="true" outlineLevel="0" collapsed="false">
      <c r="A10" s="10" t="s">
        <v>24</v>
      </c>
      <c r="B10" s="10" t="s">
        <v>27</v>
      </c>
      <c r="C10" s="10" t="s">
        <v>30</v>
      </c>
    </row>
    <row r="11" customFormat="false" ht="15" hidden="false" customHeight="false" outlineLevel="0" collapsed="false">
      <c r="A11" s="11" t="s">
        <v>52</v>
      </c>
      <c r="B11" s="13" t="n">
        <f aca="false">SUMIFS('Holdings &amp; Returns'!G:G,'Holdings &amp; Returns'!D:D,A11)</f>
        <v>2585733.31</v>
      </c>
      <c r="C11" s="14" t="n">
        <f aca="false">B11/'Holdings &amp; Returns'!$G$13</f>
        <v>0.218647753188245</v>
      </c>
    </row>
    <row r="12" customFormat="false" ht="15" hidden="false" customHeight="false" outlineLevel="0" collapsed="false">
      <c r="A12" s="11" t="s">
        <v>44</v>
      </c>
      <c r="B12" s="13" t="n">
        <f aca="false">SUMIFS('Holdings &amp; Returns'!G:G,'Holdings &amp; Returns'!D:D,A12)</f>
        <v>5796014.11</v>
      </c>
      <c r="C12" s="14" t="n">
        <f aca="false">B12/'Holdings &amp; Returns'!$G$13</f>
        <v>0.490106793959685</v>
      </c>
    </row>
    <row r="13" customFormat="false" ht="15" hidden="false" customHeight="false" outlineLevel="0" collapsed="false">
      <c r="A13" s="11" t="s">
        <v>40</v>
      </c>
      <c r="B13" s="13" t="n">
        <f aca="false">SUMIFS('Holdings &amp; Returns'!G:G,'Holdings &amp; Returns'!D:D,A13)</f>
        <v>1292792.66</v>
      </c>
      <c r="C13" s="14" t="n">
        <f aca="false">B13/'Holdings &amp; Returns'!$G$13</f>
        <v>0.109317619630021</v>
      </c>
    </row>
    <row r="14" customFormat="false" ht="15" hidden="false" customHeight="false" outlineLevel="0" collapsed="false">
      <c r="A14" s="11" t="s">
        <v>48</v>
      </c>
      <c r="B14" s="13" t="n">
        <f aca="false">SUMIFS('Holdings &amp; Returns'!G:G,'Holdings &amp; Returns'!D:D,A14)</f>
        <v>1021047.9</v>
      </c>
      <c r="C14" s="14" t="n">
        <f aca="false">B14/'Holdings &amp; Returns'!$G$13</f>
        <v>0.0863390777266878</v>
      </c>
    </row>
    <row r="15" customFormat="false" ht="15" hidden="false" customHeight="false" outlineLevel="0" collapsed="false">
      <c r="A15" s="11" t="s">
        <v>57</v>
      </c>
      <c r="B15" s="13" t="n">
        <f aca="false">SUMIFS('Holdings &amp; Returns'!G:G,'Holdings &amp; Returns'!D:D,A15)</f>
        <v>1130434.8</v>
      </c>
      <c r="C15" s="14" t="n">
        <f aca="false">B15/'Holdings &amp; Returns'!$G$13</f>
        <v>0.0955887554953619</v>
      </c>
    </row>
    <row r="17" customFormat="false" ht="15" hidden="false" customHeight="false" outlineLevel="0" collapsed="false">
      <c r="A17" s="3" t="s">
        <v>72</v>
      </c>
      <c r="B17" s="3"/>
      <c r="C17" s="3"/>
      <c r="D17" s="3"/>
      <c r="E17" s="3"/>
      <c r="F17" s="3"/>
      <c r="G17" s="3"/>
      <c r="H17" s="3"/>
      <c r="I17" s="3"/>
      <c r="J17" s="3"/>
    </row>
    <row r="18" customFormat="false" ht="21.75" hidden="false" customHeight="true" outlineLevel="0" collapsed="false">
      <c r="A18" s="10" t="s">
        <v>22</v>
      </c>
      <c r="B18" s="10" t="s">
        <v>27</v>
      </c>
      <c r="C18" s="10" t="s">
        <v>30</v>
      </c>
    </row>
    <row r="19" customFormat="false" ht="15" hidden="false" customHeight="false" outlineLevel="0" collapsed="false">
      <c r="A19" s="11" t="s">
        <v>60</v>
      </c>
      <c r="B19" s="13" t="n">
        <f aca="false">SUMIFS('Holdings &amp; Returns'!G:G,'Holdings &amp; Returns'!B:B,A19)</f>
        <v>4725959.68</v>
      </c>
      <c r="C19" s="14" t="n">
        <f aca="false">B19/'Holdings &amp; Returns'!$G$13</f>
        <v>0.399623759222963</v>
      </c>
    </row>
    <row r="20" customFormat="false" ht="15" hidden="false" customHeight="false" outlineLevel="0" collapsed="false">
      <c r="A20" s="11" t="s">
        <v>64</v>
      </c>
      <c r="B20" s="13" t="n">
        <f aca="false">SUMIFS('Holdings &amp; Returns'!G:G,'Holdings &amp; Returns'!B:B,A20)</f>
        <v>1602376.01</v>
      </c>
      <c r="C20" s="14" t="n">
        <f aca="false">B20/'Holdings &amp; Returns'!$G$13</f>
        <v>0.135495765551028</v>
      </c>
    </row>
    <row r="21" customFormat="false" ht="15" hidden="false" customHeight="false" outlineLevel="0" collapsed="false">
      <c r="A21" s="11" t="s">
        <v>43</v>
      </c>
      <c r="B21" s="13" t="n">
        <f aca="false">SUMIFS('Holdings &amp; Returns'!G:G,'Holdings &amp; Returns'!B:B,A21)</f>
        <v>1591496.63</v>
      </c>
      <c r="C21" s="14" t="n">
        <f aca="false">B21/'Holdings &amp; Returns'!$G$13</f>
        <v>0.1345758129852</v>
      </c>
    </row>
    <row r="22" customFormat="false" ht="15" hidden="false" customHeight="false" outlineLevel="0" collapsed="false">
      <c r="A22" s="11" t="s">
        <v>38</v>
      </c>
      <c r="B22" s="13" t="n">
        <f aca="false">SUMIFS('Holdings &amp; Returns'!G:G,'Holdings &amp; Returns'!B:B,A22)</f>
        <v>1292792.66</v>
      </c>
      <c r="C22" s="14" t="n">
        <f aca="false">B22/'Holdings &amp; Returns'!$G$13</f>
        <v>0.109317619630021</v>
      </c>
    </row>
    <row r="23" customFormat="false" ht="15" hidden="false" customHeight="false" outlineLevel="0" collapsed="false">
      <c r="A23" s="11" t="s">
        <v>55</v>
      </c>
      <c r="B23" s="13" t="n">
        <f aca="false">SUMIFS('Holdings &amp; Returns'!G:G,'Holdings &amp; Returns'!B:B,A23)</f>
        <v>1130434.8</v>
      </c>
      <c r="C23" s="14" t="n">
        <f aca="false">B23/'Holdings &amp; Returns'!$G$13</f>
        <v>0.0955887554953619</v>
      </c>
    </row>
    <row r="24" customFormat="false" ht="15" hidden="false" customHeight="false" outlineLevel="0" collapsed="false">
      <c r="A24" s="11" t="s">
        <v>47</v>
      </c>
      <c r="B24" s="13" t="n">
        <f aca="false">SUMIFS('Holdings &amp; Returns'!G:G,'Holdings &amp; Returns'!B:B,A24)</f>
        <v>1021047.9</v>
      </c>
      <c r="C24" s="14" t="n">
        <f aca="false">B24/'Holdings &amp; Returns'!$G$13</f>
        <v>0.0863390777266878</v>
      </c>
    </row>
    <row r="25" customFormat="false" ht="15" hidden="false" customHeight="false" outlineLevel="0" collapsed="false">
      <c r="A25" s="11" t="s">
        <v>51</v>
      </c>
      <c r="B25" s="13" t="n">
        <f aca="false">SUMIFS('Holdings &amp; Returns'!G:G,'Holdings &amp; Returns'!B:B,A25)</f>
        <v>461915.1</v>
      </c>
      <c r="C25" s="14" t="n">
        <f aca="false">B25/'Holdings &amp; Returns'!$G$13</f>
        <v>0.0390592093887375</v>
      </c>
    </row>
    <row r="30" customFormat="false" ht="15" hidden="false" customHeight="false" outlineLevel="0" collapsed="false">
      <c r="A30" s="3" t="s">
        <v>73</v>
      </c>
      <c r="B30" s="3"/>
      <c r="C30" s="3"/>
      <c r="D30" s="3"/>
      <c r="E30" s="3"/>
      <c r="F30" s="3"/>
      <c r="G30" s="3"/>
      <c r="H30" s="3"/>
      <c r="I30" s="3"/>
      <c r="J30" s="3"/>
    </row>
    <row r="31" customFormat="false" ht="27.75" hidden="false" customHeight="true" outlineLevel="0" collapsed="false">
      <c r="A31" s="19" t="s">
        <v>74</v>
      </c>
      <c r="B31" s="19"/>
      <c r="C31" s="19"/>
      <c r="D31" s="19"/>
      <c r="E31" s="19"/>
      <c r="F31" s="19"/>
      <c r="G31" s="19"/>
      <c r="H31" s="19"/>
      <c r="I31" s="19"/>
      <c r="J31" s="19"/>
    </row>
    <row r="32" customFormat="false" ht="27.75" hidden="false" customHeight="true" outlineLevel="0" collapsed="false">
      <c r="A32" s="19" t="s">
        <v>75</v>
      </c>
      <c r="B32" s="19"/>
      <c r="C32" s="19"/>
      <c r="D32" s="19"/>
      <c r="E32" s="19"/>
      <c r="F32" s="19"/>
      <c r="G32" s="19"/>
      <c r="H32" s="19"/>
      <c r="I32" s="19"/>
      <c r="J32" s="19"/>
    </row>
    <row r="33" customFormat="false" ht="27.75" hidden="false" customHeight="true" outlineLevel="0" collapsed="false">
      <c r="A33" s="19" t="s">
        <v>76</v>
      </c>
      <c r="B33" s="19"/>
      <c r="C33" s="19"/>
      <c r="D33" s="19"/>
      <c r="E33" s="19"/>
      <c r="F33" s="19"/>
      <c r="G33" s="19"/>
      <c r="H33" s="19"/>
      <c r="I33" s="19"/>
      <c r="J33" s="19"/>
    </row>
    <row r="34" customFormat="false" ht="27.75" hidden="false" customHeight="true" outlineLevel="0" collapsed="false">
      <c r="A34" s="19" t="s">
        <v>77</v>
      </c>
      <c r="B34" s="19"/>
      <c r="C34" s="19"/>
      <c r="D34" s="19"/>
      <c r="E34" s="19"/>
      <c r="F34" s="19"/>
      <c r="G34" s="19"/>
      <c r="H34" s="19"/>
      <c r="I34" s="19"/>
      <c r="J34" s="19"/>
    </row>
    <row r="35" customFormat="false" ht="27.75" hidden="false" customHeight="true" outlineLevel="0" collapsed="false">
      <c r="A35" s="19" t="s">
        <v>78</v>
      </c>
      <c r="B35" s="19"/>
      <c r="C35" s="19"/>
      <c r="D35" s="19"/>
      <c r="E35" s="19"/>
      <c r="F35" s="19"/>
      <c r="G35" s="19"/>
      <c r="H35" s="19"/>
      <c r="I35" s="19"/>
      <c r="J35" s="19"/>
    </row>
    <row r="37" customFormat="false" ht="15" hidden="false" customHeight="false" outlineLevel="0" collapsed="false">
      <c r="A37" s="3" t="s">
        <v>79</v>
      </c>
      <c r="B37" s="3"/>
      <c r="C37" s="3"/>
      <c r="D37" s="3"/>
      <c r="E37" s="3"/>
      <c r="F37" s="3"/>
      <c r="G37" s="3"/>
      <c r="H37" s="3"/>
      <c r="I37" s="3"/>
      <c r="J37" s="3"/>
    </row>
    <row r="38" customFormat="false" ht="31.5" hidden="false" customHeight="true" outlineLevel="0" collapsed="false">
      <c r="A38" s="20" t="s">
        <v>80</v>
      </c>
      <c r="B38" s="20"/>
      <c r="C38" s="20"/>
      <c r="D38" s="20"/>
      <c r="E38" s="20"/>
      <c r="F38" s="20"/>
      <c r="G38" s="20"/>
      <c r="H38" s="20"/>
      <c r="I38" s="20"/>
      <c r="J38" s="20"/>
    </row>
    <row r="39" customFormat="false" ht="31.5" hidden="false" customHeight="true" outlineLevel="0" collapsed="false">
      <c r="A39" s="20" t="s">
        <v>81</v>
      </c>
      <c r="B39" s="20"/>
      <c r="C39" s="20"/>
      <c r="D39" s="20"/>
      <c r="E39" s="20"/>
      <c r="F39" s="20"/>
      <c r="G39" s="20"/>
      <c r="H39" s="20"/>
      <c r="I39" s="20"/>
      <c r="J39" s="20"/>
    </row>
    <row r="40" customFormat="false" ht="31.5" hidden="false" customHeight="true" outlineLevel="0" collapsed="false">
      <c r="A40" s="20" t="s">
        <v>82</v>
      </c>
      <c r="B40" s="20"/>
      <c r="C40" s="20"/>
      <c r="D40" s="20"/>
      <c r="E40" s="20"/>
      <c r="F40" s="20"/>
      <c r="G40" s="20"/>
      <c r="H40" s="20"/>
      <c r="I40" s="20"/>
      <c r="J40" s="20"/>
    </row>
    <row r="41" customFormat="false" ht="31.5" hidden="false" customHeight="true" outlineLevel="0" collapsed="false">
      <c r="A41" s="20" t="s">
        <v>83</v>
      </c>
      <c r="B41" s="20"/>
      <c r="C41" s="20"/>
      <c r="D41" s="20"/>
      <c r="E41" s="20"/>
      <c r="F41" s="20"/>
      <c r="G41" s="20"/>
      <c r="H41" s="20"/>
      <c r="I41" s="20"/>
      <c r="J41" s="20"/>
    </row>
    <row r="42" customFormat="false" ht="31.5" hidden="false" customHeight="true" outlineLevel="0" collapsed="false">
      <c r="A42" s="20" t="s">
        <v>84</v>
      </c>
      <c r="B42" s="20"/>
      <c r="C42" s="20"/>
      <c r="D42" s="20"/>
      <c r="E42" s="20"/>
      <c r="F42" s="20"/>
      <c r="G42" s="20"/>
      <c r="H42" s="20"/>
      <c r="I42" s="20"/>
      <c r="J42" s="20"/>
    </row>
    <row r="43" customFormat="false" ht="31.5" hidden="false" customHeight="true" outlineLevel="0" collapsed="false">
      <c r="A43" s="20" t="s">
        <v>85</v>
      </c>
      <c r="B43" s="20"/>
      <c r="C43" s="20"/>
      <c r="D43" s="20"/>
      <c r="E43" s="20"/>
      <c r="F43" s="20"/>
      <c r="G43" s="20"/>
      <c r="H43" s="20"/>
      <c r="I43" s="20"/>
      <c r="J43" s="20"/>
    </row>
    <row r="44" customFormat="false" ht="31.5" hidden="false" customHeight="true" outlineLevel="0" collapsed="false">
      <c r="A44" s="20" t="s">
        <v>86</v>
      </c>
      <c r="B44" s="20"/>
      <c r="C44" s="20"/>
      <c r="D44" s="20"/>
      <c r="E44" s="20"/>
      <c r="F44" s="20"/>
      <c r="G44" s="20"/>
      <c r="H44" s="20"/>
      <c r="I44" s="20"/>
      <c r="J44" s="20"/>
    </row>
    <row r="46" customFormat="false" ht="15" hidden="false" customHeight="false" outlineLevel="0" collapsed="false">
      <c r="A46" s="3" t="s">
        <v>87</v>
      </c>
      <c r="B46" s="3"/>
      <c r="C46" s="3"/>
      <c r="D46" s="3"/>
      <c r="E46" s="3"/>
      <c r="F46" s="3"/>
      <c r="G46" s="3"/>
      <c r="H46" s="3"/>
      <c r="I46" s="3"/>
      <c r="J46" s="3"/>
    </row>
    <row r="47" customFormat="false" ht="30" hidden="false" customHeight="true" outlineLevel="0" collapsed="false">
      <c r="A47" s="21" t="s">
        <v>88</v>
      </c>
      <c r="B47" s="21"/>
      <c r="C47" s="21"/>
      <c r="D47" s="21"/>
      <c r="E47" s="21"/>
      <c r="F47" s="21"/>
      <c r="G47" s="21"/>
      <c r="H47" s="21"/>
      <c r="I47" s="21"/>
      <c r="J47" s="21"/>
    </row>
    <row r="48" customFormat="false" ht="30" hidden="false" customHeight="true" outlineLevel="0" collapsed="false">
      <c r="A48" s="21" t="s">
        <v>89</v>
      </c>
      <c r="B48" s="21"/>
      <c r="C48" s="21"/>
      <c r="D48" s="21"/>
      <c r="E48" s="21"/>
      <c r="F48" s="21"/>
      <c r="G48" s="21"/>
      <c r="H48" s="21"/>
      <c r="I48" s="21"/>
      <c r="J48" s="21"/>
    </row>
    <row r="49" customFormat="false" ht="30" hidden="false" customHeight="true" outlineLevel="0" collapsed="false">
      <c r="A49" s="21" t="s">
        <v>90</v>
      </c>
      <c r="B49" s="21"/>
      <c r="C49" s="21"/>
      <c r="D49" s="21"/>
      <c r="E49" s="21"/>
      <c r="F49" s="21"/>
      <c r="G49" s="21"/>
      <c r="H49" s="21"/>
      <c r="I49" s="21"/>
      <c r="J49" s="21"/>
    </row>
    <row r="50" customFormat="false" ht="30" hidden="false" customHeight="true" outlineLevel="0" collapsed="false">
      <c r="A50" s="21" t="s">
        <v>91</v>
      </c>
      <c r="B50" s="21"/>
      <c r="C50" s="21"/>
      <c r="D50" s="21"/>
      <c r="E50" s="21"/>
      <c r="F50" s="21"/>
      <c r="G50" s="21"/>
      <c r="H50" s="21"/>
      <c r="I50" s="21"/>
      <c r="J50" s="21"/>
    </row>
    <row r="51" customFormat="false" ht="30" hidden="false" customHeight="true" outlineLevel="0" collapsed="false">
      <c r="A51" s="21" t="s">
        <v>92</v>
      </c>
      <c r="B51" s="21"/>
      <c r="C51" s="21"/>
      <c r="D51" s="21"/>
      <c r="E51" s="21"/>
      <c r="F51" s="21"/>
      <c r="G51" s="21"/>
      <c r="H51" s="21"/>
      <c r="I51" s="21"/>
      <c r="J51" s="21"/>
    </row>
    <row r="52" customFormat="false" ht="30" hidden="false" customHeight="true" outlineLevel="0" collapsed="false">
      <c r="A52" s="21" t="s">
        <v>93</v>
      </c>
      <c r="B52" s="21"/>
      <c r="C52" s="21"/>
      <c r="D52" s="21"/>
      <c r="E52" s="21"/>
      <c r="F52" s="21"/>
      <c r="G52" s="21"/>
      <c r="H52" s="21"/>
      <c r="I52" s="21"/>
      <c r="J52" s="21"/>
    </row>
    <row r="53" customFormat="false" ht="30" hidden="false" customHeight="true" outlineLevel="0" collapsed="false">
      <c r="A53" s="21" t="s">
        <v>94</v>
      </c>
      <c r="B53" s="21"/>
      <c r="C53" s="21"/>
      <c r="D53" s="21"/>
      <c r="E53" s="21"/>
      <c r="F53" s="21"/>
      <c r="G53" s="21"/>
      <c r="H53" s="21"/>
      <c r="I53" s="21"/>
      <c r="J53" s="21"/>
    </row>
  </sheetData>
  <mergeCells count="27">
    <mergeCell ref="A1:J1"/>
    <mergeCell ref="A2:J2"/>
    <mergeCell ref="A4:J4"/>
    <mergeCell ref="A9:J9"/>
    <mergeCell ref="A17:J17"/>
    <mergeCell ref="A30:J30"/>
    <mergeCell ref="A31:J31"/>
    <mergeCell ref="A32:J32"/>
    <mergeCell ref="A33:J33"/>
    <mergeCell ref="A34:J34"/>
    <mergeCell ref="A35:J35"/>
    <mergeCell ref="A37:J37"/>
    <mergeCell ref="A38:J38"/>
    <mergeCell ref="A39:J39"/>
    <mergeCell ref="A40:J40"/>
    <mergeCell ref="A41:J41"/>
    <mergeCell ref="A42:J42"/>
    <mergeCell ref="A43:J43"/>
    <mergeCell ref="A44:J44"/>
    <mergeCell ref="A46:J46"/>
    <mergeCell ref="A47:J47"/>
    <mergeCell ref="A48:J48"/>
    <mergeCell ref="A49:J49"/>
    <mergeCell ref="A50:J50"/>
    <mergeCell ref="A51:J51"/>
    <mergeCell ref="A52:J52"/>
    <mergeCell ref="A53:J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20"/>
    <col collapsed="false" customWidth="true" hidden="false" outlineLevel="0" max="4" min="4" style="0" width="12"/>
    <col collapsed="false" customWidth="true" hidden="false" outlineLevel="0" max="5" min="5" style="0" width="5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4"/>
    <col collapsed="false" customWidth="true" hidden="false" outlineLevel="0" max="9" min="9" style="0" width="16"/>
  </cols>
  <sheetData>
    <row r="1" customFormat="false" ht="27.75" hidden="false" customHeight="true" outlineLevel="0" collapsed="false">
      <c r="A1" s="1" t="s">
        <v>95</v>
      </c>
      <c r="B1" s="1"/>
      <c r="C1" s="1"/>
      <c r="D1" s="1"/>
      <c r="E1" s="1"/>
      <c r="F1" s="1"/>
      <c r="G1" s="1"/>
      <c r="H1" s="1"/>
      <c r="I1" s="1"/>
    </row>
    <row r="2" customFormat="false" ht="15" hidden="false" customHeight="false" outlineLevel="0" collapsed="false">
      <c r="A2" s="2" t="s">
        <v>96</v>
      </c>
      <c r="B2" s="2"/>
      <c r="C2" s="2"/>
      <c r="D2" s="2"/>
      <c r="E2" s="2"/>
      <c r="F2" s="2"/>
      <c r="G2" s="2"/>
      <c r="H2" s="2"/>
      <c r="I2" s="2"/>
    </row>
    <row r="4" customFormat="false" ht="31.5" hidden="false" customHeight="true" outlineLevel="0" collapsed="false">
      <c r="A4" s="10" t="s">
        <v>21</v>
      </c>
      <c r="B4" s="10" t="s">
        <v>22</v>
      </c>
      <c r="C4" s="10" t="s">
        <v>24</v>
      </c>
      <c r="D4" s="10" t="s">
        <v>97</v>
      </c>
      <c r="E4" s="10" t="s">
        <v>98</v>
      </c>
      <c r="F4" s="10" t="s">
        <v>99</v>
      </c>
      <c r="G4" s="10" t="s">
        <v>100</v>
      </c>
      <c r="H4" s="10" t="s">
        <v>101</v>
      </c>
      <c r="I4" s="10" t="s">
        <v>102</v>
      </c>
    </row>
    <row r="5" customFormat="false" ht="15" hidden="false" customHeight="false" outlineLevel="0" collapsed="false">
      <c r="A5" s="11" t="s">
        <v>37</v>
      </c>
      <c r="B5" s="11" t="s">
        <v>38</v>
      </c>
      <c r="C5" s="11" t="s">
        <v>40</v>
      </c>
      <c r="D5" s="22" t="n">
        <v>45287</v>
      </c>
      <c r="E5" s="11" t="s">
        <v>103</v>
      </c>
      <c r="F5" s="23" t="n">
        <v>128.43</v>
      </c>
      <c r="G5" s="24" t="n">
        <v>1557.191</v>
      </c>
      <c r="H5" s="12" t="n">
        <v>199990</v>
      </c>
      <c r="I5" s="13" t="n">
        <f aca="false">-H5</f>
        <v>-199990</v>
      </c>
    </row>
    <row r="6" customFormat="false" ht="15" hidden="false" customHeight="false" outlineLevel="0" collapsed="false">
      <c r="A6" s="11" t="s">
        <v>37</v>
      </c>
      <c r="B6" s="11" t="s">
        <v>38</v>
      </c>
      <c r="C6" s="11" t="s">
        <v>40</v>
      </c>
      <c r="D6" s="22" t="n">
        <v>45414</v>
      </c>
      <c r="E6" s="11" t="s">
        <v>103</v>
      </c>
      <c r="F6" s="23" t="n">
        <v>141.356</v>
      </c>
      <c r="G6" s="24" t="n">
        <v>1414.797</v>
      </c>
      <c r="H6" s="12" t="n">
        <v>199990</v>
      </c>
      <c r="I6" s="13" t="n">
        <f aca="false">-H6</f>
        <v>-199990</v>
      </c>
    </row>
    <row r="7" customFormat="false" ht="15" hidden="false" customHeight="false" outlineLevel="0" collapsed="false">
      <c r="A7" s="11" t="s">
        <v>37</v>
      </c>
      <c r="B7" s="11" t="s">
        <v>38</v>
      </c>
      <c r="C7" s="11" t="s">
        <v>40</v>
      </c>
      <c r="D7" s="22" t="n">
        <v>45688</v>
      </c>
      <c r="E7" s="11" t="s">
        <v>104</v>
      </c>
      <c r="F7" s="23" t="n">
        <v>144.041</v>
      </c>
      <c r="G7" s="24" t="n">
        <v>1388.424</v>
      </c>
      <c r="H7" s="12" t="n">
        <v>199990</v>
      </c>
      <c r="I7" s="13" t="n">
        <f aca="false">-H7</f>
        <v>-199990</v>
      </c>
    </row>
    <row r="8" customFormat="false" ht="15" hidden="false" customHeight="false" outlineLevel="0" collapsed="false">
      <c r="A8" s="25" t="s">
        <v>37</v>
      </c>
      <c r="B8" s="25" t="s">
        <v>38</v>
      </c>
      <c r="C8" s="25" t="s">
        <v>40</v>
      </c>
      <c r="D8" s="26" t="n">
        <v>46235</v>
      </c>
      <c r="E8" s="27" t="s">
        <v>105</v>
      </c>
      <c r="F8" s="25"/>
      <c r="G8" s="25"/>
      <c r="H8" s="25"/>
      <c r="I8" s="28" t="n">
        <v>1292792.66</v>
      </c>
    </row>
    <row r="9" customFormat="false" ht="15" hidden="false" customHeight="false" outlineLevel="0" collapsed="false">
      <c r="A9" s="11" t="s">
        <v>42</v>
      </c>
      <c r="B9" s="11" t="s">
        <v>43</v>
      </c>
      <c r="C9" s="11" t="s">
        <v>44</v>
      </c>
      <c r="D9" s="22" t="n">
        <v>45139</v>
      </c>
      <c r="E9" s="11" t="s">
        <v>106</v>
      </c>
      <c r="F9" s="23" t="n">
        <v>99.363</v>
      </c>
      <c r="G9" s="24" t="n">
        <v>251.59</v>
      </c>
      <c r="H9" s="12" t="n">
        <v>24998.75</v>
      </c>
      <c r="I9" s="13" t="n">
        <f aca="false">-H9</f>
        <v>-24998.75</v>
      </c>
    </row>
    <row r="10" customFormat="false" ht="15" hidden="false" customHeight="false" outlineLevel="0" collapsed="false">
      <c r="A10" s="11" t="s">
        <v>42</v>
      </c>
      <c r="B10" s="11" t="s">
        <v>43</v>
      </c>
      <c r="C10" s="11" t="s">
        <v>44</v>
      </c>
      <c r="D10" s="22" t="n">
        <v>45168</v>
      </c>
      <c r="E10" s="11" t="s">
        <v>107</v>
      </c>
      <c r="F10" s="23" t="n">
        <v>102.458</v>
      </c>
      <c r="G10" s="24" t="n">
        <v>243.99</v>
      </c>
      <c r="H10" s="12" t="n">
        <v>24998.75</v>
      </c>
      <c r="I10" s="13" t="n">
        <f aca="false">-H10</f>
        <v>-24998.75</v>
      </c>
    </row>
    <row r="11" customFormat="false" ht="15" hidden="false" customHeight="false" outlineLevel="0" collapsed="false">
      <c r="A11" s="11" t="s">
        <v>42</v>
      </c>
      <c r="B11" s="11" t="s">
        <v>43</v>
      </c>
      <c r="C11" s="11" t="s">
        <v>44</v>
      </c>
      <c r="D11" s="22" t="n">
        <v>45202</v>
      </c>
      <c r="E11" s="11" t="s">
        <v>108</v>
      </c>
      <c r="F11" s="23" t="n">
        <v>104.114</v>
      </c>
      <c r="G11" s="24" t="n">
        <v>240.109</v>
      </c>
      <c r="H11" s="12" t="n">
        <v>24998.75</v>
      </c>
      <c r="I11" s="13" t="n">
        <f aca="false">-H11</f>
        <v>-24998.75</v>
      </c>
    </row>
    <row r="12" customFormat="false" ht="15" hidden="false" customHeight="false" outlineLevel="0" collapsed="false">
      <c r="A12" s="11" t="s">
        <v>42</v>
      </c>
      <c r="B12" s="11" t="s">
        <v>43</v>
      </c>
      <c r="C12" s="11" t="s">
        <v>44</v>
      </c>
      <c r="D12" s="22" t="n">
        <v>45230</v>
      </c>
      <c r="E12" s="11" t="s">
        <v>109</v>
      </c>
      <c r="F12" s="23" t="n">
        <v>101.902</v>
      </c>
      <c r="G12" s="24" t="n">
        <v>245.321</v>
      </c>
      <c r="H12" s="12" t="n">
        <v>24998.75</v>
      </c>
      <c r="I12" s="13" t="n">
        <f aca="false">-H12</f>
        <v>-24998.75</v>
      </c>
    </row>
    <row r="13" customFormat="false" ht="15" hidden="false" customHeight="false" outlineLevel="0" collapsed="false">
      <c r="A13" s="11" t="s">
        <v>42</v>
      </c>
      <c r="B13" s="11" t="s">
        <v>43</v>
      </c>
      <c r="C13" s="11" t="s">
        <v>44</v>
      </c>
      <c r="D13" s="22" t="n">
        <v>45260</v>
      </c>
      <c r="E13" s="11" t="s">
        <v>110</v>
      </c>
      <c r="F13" s="23" t="n">
        <v>109.04</v>
      </c>
      <c r="G13" s="24" t="n">
        <v>229.262</v>
      </c>
      <c r="H13" s="12" t="n">
        <v>24998.75</v>
      </c>
      <c r="I13" s="13" t="n">
        <f aca="false">-H13</f>
        <v>-24998.75</v>
      </c>
    </row>
    <row r="14" customFormat="false" ht="15" hidden="false" customHeight="false" outlineLevel="0" collapsed="false">
      <c r="A14" s="11" t="s">
        <v>42</v>
      </c>
      <c r="B14" s="11" t="s">
        <v>43</v>
      </c>
      <c r="C14" s="11" t="s">
        <v>44</v>
      </c>
      <c r="D14" s="22" t="n">
        <v>45292</v>
      </c>
      <c r="E14" s="11" t="s">
        <v>111</v>
      </c>
      <c r="F14" s="23" t="n">
        <v>114.351</v>
      </c>
      <c r="G14" s="24" t="n">
        <v>218.614</v>
      </c>
      <c r="H14" s="12" t="n">
        <v>24998.75</v>
      </c>
      <c r="I14" s="13" t="n">
        <f aca="false">-H14</f>
        <v>-24998.75</v>
      </c>
    </row>
    <row r="15" customFormat="false" ht="15" hidden="false" customHeight="false" outlineLevel="0" collapsed="false">
      <c r="A15" s="11" t="s">
        <v>42</v>
      </c>
      <c r="B15" s="11" t="s">
        <v>43</v>
      </c>
      <c r="C15" s="11" t="s">
        <v>44</v>
      </c>
      <c r="D15" s="22" t="n">
        <v>45321</v>
      </c>
      <c r="E15" s="11" t="s">
        <v>112</v>
      </c>
      <c r="F15" s="23" t="n">
        <v>113.553</v>
      </c>
      <c r="G15" s="24" t="n">
        <v>220.151</v>
      </c>
      <c r="H15" s="12" t="n">
        <v>24998.75</v>
      </c>
      <c r="I15" s="13" t="n">
        <f aca="false">-H15</f>
        <v>-24998.75</v>
      </c>
    </row>
    <row r="16" customFormat="false" ht="15" hidden="false" customHeight="false" outlineLevel="0" collapsed="false">
      <c r="A16" s="11" t="s">
        <v>42</v>
      </c>
      <c r="B16" s="11" t="s">
        <v>43</v>
      </c>
      <c r="C16" s="11" t="s">
        <v>44</v>
      </c>
      <c r="D16" s="22" t="n">
        <v>45352</v>
      </c>
      <c r="E16" s="11" t="s">
        <v>113</v>
      </c>
      <c r="F16" s="23" t="n">
        <v>117.856</v>
      </c>
      <c r="G16" s="24" t="n">
        <v>212.113</v>
      </c>
      <c r="H16" s="12" t="n">
        <v>24998.75</v>
      </c>
      <c r="I16" s="13" t="n">
        <f aca="false">-H16</f>
        <v>-24998.75</v>
      </c>
    </row>
    <row r="17" customFormat="false" ht="15" hidden="false" customHeight="false" outlineLevel="0" collapsed="false">
      <c r="A17" s="11" t="s">
        <v>42</v>
      </c>
      <c r="B17" s="11" t="s">
        <v>43</v>
      </c>
      <c r="C17" s="11" t="s">
        <v>44</v>
      </c>
      <c r="D17" s="22" t="n">
        <v>45384</v>
      </c>
      <c r="E17" s="11" t="s">
        <v>114</v>
      </c>
      <c r="F17" s="23" t="n">
        <v>120.234</v>
      </c>
      <c r="G17" s="24" t="n">
        <v>207.917</v>
      </c>
      <c r="H17" s="12" t="n">
        <v>24998.75</v>
      </c>
      <c r="I17" s="13" t="n">
        <f aca="false">-H17</f>
        <v>-24998.75</v>
      </c>
    </row>
    <row r="18" customFormat="false" ht="15" hidden="false" customHeight="false" outlineLevel="0" collapsed="false">
      <c r="A18" s="11" t="s">
        <v>42</v>
      </c>
      <c r="B18" s="11" t="s">
        <v>43</v>
      </c>
      <c r="C18" s="11" t="s">
        <v>44</v>
      </c>
      <c r="D18" s="22" t="n">
        <v>45412</v>
      </c>
      <c r="E18" s="11" t="s">
        <v>115</v>
      </c>
      <c r="F18" s="23" t="n">
        <v>125.74</v>
      </c>
      <c r="G18" s="24" t="n">
        <v>198.813</v>
      </c>
      <c r="H18" s="12" t="n">
        <v>24998.75</v>
      </c>
      <c r="I18" s="13" t="n">
        <f aca="false">-H18</f>
        <v>-24998.75</v>
      </c>
    </row>
    <row r="19" customFormat="false" ht="15" hidden="false" customHeight="false" outlineLevel="0" collapsed="false">
      <c r="A19" s="11" t="s">
        <v>42</v>
      </c>
      <c r="B19" s="11" t="s">
        <v>43</v>
      </c>
      <c r="C19" s="11" t="s">
        <v>44</v>
      </c>
      <c r="D19" s="22" t="n">
        <v>45442</v>
      </c>
      <c r="E19" s="11" t="s">
        <v>116</v>
      </c>
      <c r="F19" s="23" t="n">
        <v>132.652</v>
      </c>
      <c r="G19" s="24" t="n">
        <v>188.454</v>
      </c>
      <c r="H19" s="12" t="n">
        <v>24998.75</v>
      </c>
      <c r="I19" s="13" t="n">
        <f aca="false">-H19</f>
        <v>-24998.75</v>
      </c>
    </row>
    <row r="20" customFormat="false" ht="15" hidden="false" customHeight="false" outlineLevel="0" collapsed="false">
      <c r="A20" s="11" t="s">
        <v>42</v>
      </c>
      <c r="B20" s="11" t="s">
        <v>43</v>
      </c>
      <c r="C20" s="11" t="s">
        <v>44</v>
      </c>
      <c r="D20" s="22" t="n">
        <v>45474</v>
      </c>
      <c r="E20" s="11" t="s">
        <v>117</v>
      </c>
      <c r="F20" s="23" t="n">
        <v>146.633</v>
      </c>
      <c r="G20" s="24" t="n">
        <v>170.485</v>
      </c>
      <c r="H20" s="12" t="n">
        <v>24998.75</v>
      </c>
      <c r="I20" s="13" t="n">
        <f aca="false">-H20</f>
        <v>-24998.75</v>
      </c>
    </row>
    <row r="21" customFormat="false" ht="15" hidden="false" customHeight="false" outlineLevel="0" collapsed="false">
      <c r="A21" s="11" t="s">
        <v>42</v>
      </c>
      <c r="B21" s="11" t="s">
        <v>43</v>
      </c>
      <c r="C21" s="11" t="s">
        <v>44</v>
      </c>
      <c r="D21" s="22" t="n">
        <v>45503</v>
      </c>
      <c r="E21" s="11" t="s">
        <v>118</v>
      </c>
      <c r="F21" s="23" t="n">
        <v>151.712</v>
      </c>
      <c r="G21" s="24" t="n">
        <v>164.778</v>
      </c>
      <c r="H21" s="12" t="n">
        <v>24998.75</v>
      </c>
      <c r="I21" s="13" t="n">
        <f aca="false">-H21</f>
        <v>-24998.75</v>
      </c>
    </row>
    <row r="22" customFormat="false" ht="15" hidden="false" customHeight="false" outlineLevel="0" collapsed="false">
      <c r="A22" s="11" t="s">
        <v>42</v>
      </c>
      <c r="B22" s="11" t="s">
        <v>43</v>
      </c>
      <c r="C22" s="11" t="s">
        <v>44</v>
      </c>
      <c r="D22" s="22" t="n">
        <v>45534</v>
      </c>
      <c r="E22" s="11" t="s">
        <v>119</v>
      </c>
      <c r="F22" s="23" t="n">
        <v>153.603</v>
      </c>
      <c r="G22" s="24" t="n">
        <v>162.749</v>
      </c>
      <c r="H22" s="12" t="n">
        <v>24998.75</v>
      </c>
      <c r="I22" s="13" t="n">
        <f aca="false">-H22</f>
        <v>-24998.75</v>
      </c>
    </row>
    <row r="23" customFormat="false" ht="15" hidden="false" customHeight="false" outlineLevel="0" collapsed="false">
      <c r="A23" s="11" t="s">
        <v>42</v>
      </c>
      <c r="B23" s="11" t="s">
        <v>43</v>
      </c>
      <c r="C23" s="11" t="s">
        <v>44</v>
      </c>
      <c r="D23" s="22" t="n">
        <v>45566</v>
      </c>
      <c r="E23" s="11" t="s">
        <v>120</v>
      </c>
      <c r="F23" s="23" t="n">
        <v>157.362</v>
      </c>
      <c r="G23" s="24" t="n">
        <v>158.861</v>
      </c>
      <c r="H23" s="12" t="n">
        <v>24998.75</v>
      </c>
      <c r="I23" s="13" t="n">
        <f aca="false">-H23</f>
        <v>-24998.75</v>
      </c>
    </row>
    <row r="24" customFormat="false" ht="15" hidden="false" customHeight="false" outlineLevel="0" collapsed="false">
      <c r="A24" s="11" t="s">
        <v>42</v>
      </c>
      <c r="B24" s="11" t="s">
        <v>43</v>
      </c>
      <c r="C24" s="11" t="s">
        <v>44</v>
      </c>
      <c r="D24" s="22" t="n">
        <v>45595</v>
      </c>
      <c r="E24" s="11" t="s">
        <v>121</v>
      </c>
      <c r="F24" s="23" t="n">
        <v>150.149</v>
      </c>
      <c r="G24" s="24" t="n">
        <v>166.493</v>
      </c>
      <c r="H24" s="12" t="n">
        <v>24998.75</v>
      </c>
      <c r="I24" s="13" t="n">
        <f aca="false">-H24</f>
        <v>-24998.75</v>
      </c>
    </row>
    <row r="25" customFormat="false" ht="15" hidden="false" customHeight="false" outlineLevel="0" collapsed="false">
      <c r="A25" s="11" t="s">
        <v>42</v>
      </c>
      <c r="B25" s="11" t="s">
        <v>43</v>
      </c>
      <c r="C25" s="11" t="s">
        <v>44</v>
      </c>
      <c r="D25" s="22" t="n">
        <v>45628</v>
      </c>
      <c r="E25" s="11" t="s">
        <v>122</v>
      </c>
      <c r="F25" s="23" t="n">
        <v>153.946</v>
      </c>
      <c r="G25" s="24" t="n">
        <v>162.386</v>
      </c>
      <c r="H25" s="12" t="n">
        <v>24998.75</v>
      </c>
      <c r="I25" s="13" t="n">
        <f aca="false">-H25</f>
        <v>-24998.75</v>
      </c>
    </row>
    <row r="26" customFormat="false" ht="15" hidden="false" customHeight="false" outlineLevel="0" collapsed="false">
      <c r="A26" s="11" t="s">
        <v>42</v>
      </c>
      <c r="B26" s="11" t="s">
        <v>43</v>
      </c>
      <c r="C26" s="11" t="s">
        <v>44</v>
      </c>
      <c r="D26" s="22" t="n">
        <v>45657</v>
      </c>
      <c r="E26" s="11" t="s">
        <v>123</v>
      </c>
      <c r="F26" s="23" t="n">
        <v>154.38</v>
      </c>
      <c r="G26" s="24" t="n">
        <v>161.93</v>
      </c>
      <c r="H26" s="12" t="n">
        <v>24998.75</v>
      </c>
      <c r="I26" s="13" t="n">
        <f aca="false">-H26</f>
        <v>-24998.75</v>
      </c>
    </row>
    <row r="27" customFormat="false" ht="15" hidden="false" customHeight="false" outlineLevel="0" collapsed="false">
      <c r="A27" s="11" t="s">
        <v>42</v>
      </c>
      <c r="B27" s="11" t="s">
        <v>43</v>
      </c>
      <c r="C27" s="11" t="s">
        <v>44</v>
      </c>
      <c r="D27" s="22" t="n">
        <v>45687</v>
      </c>
      <c r="E27" s="11" t="s">
        <v>124</v>
      </c>
      <c r="F27" s="23" t="n">
        <v>139.331</v>
      </c>
      <c r="G27" s="24" t="n">
        <v>179.42</v>
      </c>
      <c r="H27" s="12" t="n">
        <v>24998.75</v>
      </c>
      <c r="I27" s="13" t="n">
        <f aca="false">-H27</f>
        <v>-24998.75</v>
      </c>
    </row>
    <row r="28" customFormat="false" ht="15" hidden="false" customHeight="false" outlineLevel="0" collapsed="false">
      <c r="A28" s="11" t="s">
        <v>42</v>
      </c>
      <c r="B28" s="11" t="s">
        <v>43</v>
      </c>
      <c r="C28" s="11" t="s">
        <v>44</v>
      </c>
      <c r="D28" s="22" t="n">
        <v>45719</v>
      </c>
      <c r="E28" s="11" t="s">
        <v>125</v>
      </c>
      <c r="F28" s="23" t="n">
        <v>126.45</v>
      </c>
      <c r="G28" s="24" t="n">
        <v>197.697</v>
      </c>
      <c r="H28" s="12" t="n">
        <v>24998.75</v>
      </c>
      <c r="I28" s="13" t="n">
        <f aca="false">-H28</f>
        <v>-24998.75</v>
      </c>
    </row>
    <row r="29" customFormat="false" ht="15" hidden="false" customHeight="false" outlineLevel="0" collapsed="false">
      <c r="A29" s="11" t="s">
        <v>42</v>
      </c>
      <c r="B29" s="11" t="s">
        <v>43</v>
      </c>
      <c r="C29" s="11" t="s">
        <v>44</v>
      </c>
      <c r="D29" s="22" t="n">
        <v>45748</v>
      </c>
      <c r="E29" s="11" t="s">
        <v>126</v>
      </c>
      <c r="F29" s="23" t="n">
        <v>134.386</v>
      </c>
      <c r="G29" s="24" t="n">
        <v>186.022</v>
      </c>
      <c r="H29" s="12" t="n">
        <v>24998.75</v>
      </c>
      <c r="I29" s="13" t="n">
        <f aca="false">-H29</f>
        <v>-24998.75</v>
      </c>
    </row>
    <row r="30" customFormat="false" ht="15" hidden="false" customHeight="false" outlineLevel="0" collapsed="false">
      <c r="A30" s="11" t="s">
        <v>42</v>
      </c>
      <c r="B30" s="11" t="s">
        <v>43</v>
      </c>
      <c r="C30" s="11" t="s">
        <v>44</v>
      </c>
      <c r="D30" s="22" t="n">
        <v>45777</v>
      </c>
      <c r="E30" s="11" t="s">
        <v>127</v>
      </c>
      <c r="F30" s="23" t="n">
        <v>139.499</v>
      </c>
      <c r="G30" s="24" t="n">
        <v>179.204</v>
      </c>
      <c r="H30" s="12" t="n">
        <v>24998.75</v>
      </c>
      <c r="I30" s="13" t="n">
        <f aca="false">-H30</f>
        <v>-24998.75</v>
      </c>
    </row>
    <row r="31" customFormat="false" ht="15" hidden="false" customHeight="false" outlineLevel="0" collapsed="false">
      <c r="A31" s="11" t="s">
        <v>42</v>
      </c>
      <c r="B31" s="11" t="s">
        <v>43</v>
      </c>
      <c r="C31" s="11" t="s">
        <v>44</v>
      </c>
      <c r="D31" s="22" t="n">
        <v>45807</v>
      </c>
      <c r="E31" s="11" t="s">
        <v>128</v>
      </c>
      <c r="F31" s="23" t="n">
        <v>149.472</v>
      </c>
      <c r="G31" s="24" t="n">
        <v>167.247</v>
      </c>
      <c r="H31" s="12" t="n">
        <v>24998.75</v>
      </c>
      <c r="I31" s="13" t="n">
        <f aca="false">-H31</f>
        <v>-24998.75</v>
      </c>
    </row>
    <row r="32" customFormat="false" ht="15" hidden="false" customHeight="false" outlineLevel="0" collapsed="false">
      <c r="A32" s="11" t="s">
        <v>42</v>
      </c>
      <c r="B32" s="11" t="s">
        <v>43</v>
      </c>
      <c r="C32" s="11" t="s">
        <v>44</v>
      </c>
      <c r="D32" s="22" t="n">
        <v>45811</v>
      </c>
      <c r="E32" s="11" t="s">
        <v>129</v>
      </c>
      <c r="F32" s="23" t="n">
        <v>149.796</v>
      </c>
      <c r="G32" s="24" t="n">
        <v>1335.082</v>
      </c>
      <c r="H32" s="12" t="n">
        <v>199990</v>
      </c>
      <c r="I32" s="13" t="n">
        <f aca="false">-H32</f>
        <v>-199990</v>
      </c>
    </row>
    <row r="33" customFormat="false" ht="15" hidden="false" customHeight="false" outlineLevel="0" collapsed="false">
      <c r="A33" s="11" t="s">
        <v>42</v>
      </c>
      <c r="B33" s="11" t="s">
        <v>43</v>
      </c>
      <c r="C33" s="11" t="s">
        <v>44</v>
      </c>
      <c r="D33" s="22" t="n">
        <v>45839</v>
      </c>
      <c r="E33" s="11" t="s">
        <v>130</v>
      </c>
      <c r="F33" s="23" t="n">
        <v>157.662</v>
      </c>
      <c r="G33" s="24" t="n">
        <v>158.559</v>
      </c>
      <c r="H33" s="12" t="n">
        <v>24998.75</v>
      </c>
      <c r="I33" s="13" t="n">
        <f aca="false">-H33</f>
        <v>-24998.75</v>
      </c>
    </row>
    <row r="34" customFormat="false" ht="15" hidden="false" customHeight="false" outlineLevel="0" collapsed="false">
      <c r="A34" s="11" t="s">
        <v>42</v>
      </c>
      <c r="B34" s="11" t="s">
        <v>43</v>
      </c>
      <c r="C34" s="11" t="s">
        <v>44</v>
      </c>
      <c r="D34" s="22" t="n">
        <v>45856</v>
      </c>
      <c r="E34" s="11" t="s">
        <v>129</v>
      </c>
      <c r="F34" s="23" t="n">
        <v>157.99</v>
      </c>
      <c r="G34" s="24" t="n">
        <v>1265.84</v>
      </c>
      <c r="H34" s="12" t="n">
        <v>199990</v>
      </c>
      <c r="I34" s="13" t="n">
        <f aca="false">-H34</f>
        <v>-199990</v>
      </c>
    </row>
    <row r="35" customFormat="false" ht="15" hidden="false" customHeight="false" outlineLevel="0" collapsed="false">
      <c r="A35" s="11" t="s">
        <v>42</v>
      </c>
      <c r="B35" s="11" t="s">
        <v>43</v>
      </c>
      <c r="C35" s="11" t="s">
        <v>44</v>
      </c>
      <c r="D35" s="22" t="n">
        <v>45868</v>
      </c>
      <c r="E35" s="11" t="s">
        <v>131</v>
      </c>
      <c r="F35" s="23" t="n">
        <v>158.265</v>
      </c>
      <c r="G35" s="24" t="n">
        <v>157.955</v>
      </c>
      <c r="H35" s="12" t="n">
        <v>24998.75</v>
      </c>
      <c r="I35" s="13" t="n">
        <f aca="false">-H35</f>
        <v>-24998.75</v>
      </c>
    </row>
    <row r="36" customFormat="false" ht="15" hidden="false" customHeight="false" outlineLevel="0" collapsed="false">
      <c r="A36" s="11" t="s">
        <v>42</v>
      </c>
      <c r="B36" s="11" t="s">
        <v>43</v>
      </c>
      <c r="C36" s="11" t="s">
        <v>44</v>
      </c>
      <c r="D36" s="22" t="n">
        <v>45901</v>
      </c>
      <c r="E36" s="11" t="s">
        <v>132</v>
      </c>
      <c r="F36" s="23" t="n">
        <v>157.667</v>
      </c>
      <c r="G36" s="24" t="n">
        <v>158.554</v>
      </c>
      <c r="H36" s="12" t="n">
        <v>24998.75</v>
      </c>
      <c r="I36" s="13" t="n">
        <f aca="false">-H36</f>
        <v>-24998.75</v>
      </c>
    </row>
    <row r="37" customFormat="false" ht="15" hidden="false" customHeight="false" outlineLevel="0" collapsed="false">
      <c r="A37" s="11" t="s">
        <v>42</v>
      </c>
      <c r="B37" s="11" t="s">
        <v>43</v>
      </c>
      <c r="C37" s="11" t="s">
        <v>44</v>
      </c>
      <c r="D37" s="22" t="n">
        <v>45930</v>
      </c>
      <c r="E37" s="11" t="s">
        <v>133</v>
      </c>
      <c r="F37" s="23" t="n">
        <v>156.998</v>
      </c>
      <c r="G37" s="24" t="n">
        <v>159.23</v>
      </c>
      <c r="H37" s="12" t="n">
        <v>24998.75</v>
      </c>
      <c r="I37" s="13" t="n">
        <f aca="false">-H37</f>
        <v>-24998.75</v>
      </c>
    </row>
    <row r="38" customFormat="false" ht="15" hidden="false" customHeight="false" outlineLevel="0" collapsed="false">
      <c r="A38" s="11" t="s">
        <v>42</v>
      </c>
      <c r="B38" s="11" t="s">
        <v>43</v>
      </c>
      <c r="C38" s="11" t="s">
        <v>44</v>
      </c>
      <c r="D38" s="22" t="n">
        <v>45960</v>
      </c>
      <c r="E38" s="11" t="s">
        <v>134</v>
      </c>
      <c r="F38" s="23" t="n">
        <v>162.261</v>
      </c>
      <c r="G38" s="24" t="n">
        <v>154.065</v>
      </c>
      <c r="H38" s="12" t="n">
        <v>24998.75</v>
      </c>
      <c r="I38" s="13" t="n">
        <f aca="false">-H38</f>
        <v>-24998.75</v>
      </c>
    </row>
    <row r="39" customFormat="false" ht="15" hidden="false" customHeight="false" outlineLevel="0" collapsed="false">
      <c r="A39" s="11" t="s">
        <v>42</v>
      </c>
      <c r="B39" s="11" t="s">
        <v>43</v>
      </c>
      <c r="C39" s="11" t="s">
        <v>44</v>
      </c>
      <c r="D39" s="22" t="n">
        <v>45992</v>
      </c>
      <c r="E39" s="11" t="s">
        <v>135</v>
      </c>
      <c r="F39" s="23" t="n">
        <v>159.306</v>
      </c>
      <c r="G39" s="24" t="n">
        <v>156.923</v>
      </c>
      <c r="H39" s="12" t="n">
        <v>24998.75</v>
      </c>
      <c r="I39" s="13" t="n">
        <f aca="false">-H39</f>
        <v>-24998.75</v>
      </c>
    </row>
    <row r="40" customFormat="false" ht="15" hidden="false" customHeight="false" outlineLevel="0" collapsed="false">
      <c r="A40" s="11" t="s">
        <v>42</v>
      </c>
      <c r="B40" s="11" t="s">
        <v>43</v>
      </c>
      <c r="C40" s="11" t="s">
        <v>44</v>
      </c>
      <c r="D40" s="22" t="n">
        <v>46021</v>
      </c>
      <c r="E40" s="11" t="s">
        <v>136</v>
      </c>
      <c r="F40" s="23" t="n">
        <v>156.869</v>
      </c>
      <c r="G40" s="24" t="n">
        <v>159.361</v>
      </c>
      <c r="H40" s="12" t="n">
        <v>24998.75</v>
      </c>
      <c r="I40" s="13" t="n">
        <f aca="false">-H40</f>
        <v>-24998.75</v>
      </c>
    </row>
    <row r="41" customFormat="false" ht="15" hidden="false" customHeight="false" outlineLevel="0" collapsed="false">
      <c r="A41" s="11" t="s">
        <v>42</v>
      </c>
      <c r="B41" s="11" t="s">
        <v>43</v>
      </c>
      <c r="C41" s="11" t="s">
        <v>44</v>
      </c>
      <c r="D41" s="22" t="n">
        <v>46052</v>
      </c>
      <c r="E41" s="11" t="s">
        <v>137</v>
      </c>
      <c r="F41" s="23" t="n">
        <v>153.607</v>
      </c>
      <c r="G41" s="24" t="n">
        <v>162.745</v>
      </c>
      <c r="H41" s="12" t="n">
        <v>24998.75</v>
      </c>
      <c r="I41" s="13" t="n">
        <f aca="false">-H41</f>
        <v>-24998.75</v>
      </c>
    </row>
    <row r="42" customFormat="false" ht="15" hidden="false" customHeight="false" outlineLevel="0" collapsed="false">
      <c r="A42" s="11" t="s">
        <v>42</v>
      </c>
      <c r="B42" s="11" t="s">
        <v>43</v>
      </c>
      <c r="C42" s="11" t="s">
        <v>44</v>
      </c>
      <c r="D42" s="22" t="n">
        <v>46085</v>
      </c>
      <c r="E42" s="11" t="s">
        <v>138</v>
      </c>
      <c r="F42" s="23" t="n">
        <v>153.708</v>
      </c>
      <c r="G42" s="24" t="n">
        <v>162.638</v>
      </c>
      <c r="H42" s="12" t="n">
        <v>24998.75</v>
      </c>
      <c r="I42" s="13" t="n">
        <f aca="false">-H42</f>
        <v>-24998.75</v>
      </c>
    </row>
    <row r="43" customFormat="false" ht="15" hidden="false" customHeight="false" outlineLevel="0" collapsed="false">
      <c r="A43" s="11" t="s">
        <v>42</v>
      </c>
      <c r="B43" s="11" t="s">
        <v>43</v>
      </c>
      <c r="C43" s="11" t="s">
        <v>44</v>
      </c>
      <c r="D43" s="22" t="n">
        <v>46114</v>
      </c>
      <c r="E43" s="11" t="s">
        <v>139</v>
      </c>
      <c r="F43" s="23" t="n">
        <v>144.661</v>
      </c>
      <c r="G43" s="24" t="n">
        <v>172.809</v>
      </c>
      <c r="H43" s="12" t="n">
        <v>24998.75</v>
      </c>
      <c r="I43" s="13" t="n">
        <f aca="false">-H43</f>
        <v>-24998.75</v>
      </c>
    </row>
    <row r="44" customFormat="false" ht="15" hidden="false" customHeight="false" outlineLevel="0" collapsed="false">
      <c r="A44" s="11" t="s">
        <v>42</v>
      </c>
      <c r="B44" s="11" t="s">
        <v>43</v>
      </c>
      <c r="C44" s="11" t="s">
        <v>44</v>
      </c>
      <c r="D44" s="22" t="n">
        <v>46142</v>
      </c>
      <c r="E44" s="11" t="s">
        <v>140</v>
      </c>
      <c r="F44" s="23" t="n">
        <v>160.518</v>
      </c>
      <c r="G44" s="24" t="n">
        <v>155.738</v>
      </c>
      <c r="H44" s="12" t="n">
        <v>24998.75</v>
      </c>
      <c r="I44" s="13" t="n">
        <f aca="false">-H44</f>
        <v>-24998.75</v>
      </c>
    </row>
    <row r="45" customFormat="false" ht="15" hidden="false" customHeight="false" outlineLevel="0" collapsed="false">
      <c r="A45" s="11" t="s">
        <v>42</v>
      </c>
      <c r="B45" s="11" t="s">
        <v>43</v>
      </c>
      <c r="C45" s="11" t="s">
        <v>44</v>
      </c>
      <c r="D45" s="22" t="n">
        <v>46174</v>
      </c>
      <c r="E45" s="11" t="s">
        <v>141</v>
      </c>
      <c r="F45" s="23" t="n">
        <v>160.429</v>
      </c>
      <c r="G45" s="24" t="n">
        <v>155.824</v>
      </c>
      <c r="H45" s="12" t="n">
        <v>24998.75</v>
      </c>
      <c r="I45" s="13" t="n">
        <f aca="false">-H45</f>
        <v>-24998.75</v>
      </c>
    </row>
    <row r="46" customFormat="false" ht="15" hidden="false" customHeight="false" outlineLevel="0" collapsed="false">
      <c r="A46" s="11" t="s">
        <v>42</v>
      </c>
      <c r="B46" s="11" t="s">
        <v>43</v>
      </c>
      <c r="C46" s="11" t="s">
        <v>44</v>
      </c>
      <c r="D46" s="22" t="n">
        <v>46203</v>
      </c>
      <c r="E46" s="11" t="s">
        <v>142</v>
      </c>
      <c r="F46" s="23" t="n">
        <v>168.093</v>
      </c>
      <c r="G46" s="24" t="n">
        <v>148.72</v>
      </c>
      <c r="H46" s="12" t="n">
        <v>24998.75</v>
      </c>
      <c r="I46" s="13" t="n">
        <f aca="false">-H46</f>
        <v>-24998.75</v>
      </c>
    </row>
    <row r="47" customFormat="false" ht="15" hidden="false" customHeight="false" outlineLevel="0" collapsed="false">
      <c r="A47" s="11" t="s">
        <v>42</v>
      </c>
      <c r="B47" s="11" t="s">
        <v>43</v>
      </c>
      <c r="C47" s="11" t="s">
        <v>44</v>
      </c>
      <c r="D47" s="22" t="n">
        <v>46233</v>
      </c>
      <c r="E47" s="11" t="s">
        <v>143</v>
      </c>
      <c r="F47" s="23" t="n">
        <v>170.104</v>
      </c>
      <c r="G47" s="24" t="n">
        <v>146.962</v>
      </c>
      <c r="H47" s="12" t="n">
        <v>24998.75</v>
      </c>
      <c r="I47" s="13" t="n">
        <f aca="false">-H47</f>
        <v>-24998.75</v>
      </c>
    </row>
    <row r="48" customFormat="false" ht="15" hidden="false" customHeight="false" outlineLevel="0" collapsed="false">
      <c r="A48" s="25" t="s">
        <v>42</v>
      </c>
      <c r="B48" s="25" t="s">
        <v>43</v>
      </c>
      <c r="C48" s="25" t="s">
        <v>44</v>
      </c>
      <c r="D48" s="26" t="n">
        <v>46235</v>
      </c>
      <c r="E48" s="27" t="s">
        <v>105</v>
      </c>
      <c r="F48" s="25"/>
      <c r="G48" s="25"/>
      <c r="H48" s="25"/>
      <c r="I48" s="28" t="n">
        <v>1591496.63</v>
      </c>
    </row>
    <row r="49" customFormat="false" ht="15" hidden="false" customHeight="false" outlineLevel="0" collapsed="false">
      <c r="A49" s="11" t="s">
        <v>46</v>
      </c>
      <c r="B49" s="11" t="s">
        <v>47</v>
      </c>
      <c r="C49" s="11" t="s">
        <v>48</v>
      </c>
      <c r="D49" s="22" t="n">
        <v>45789</v>
      </c>
      <c r="E49" s="11" t="s">
        <v>144</v>
      </c>
      <c r="F49" s="23" t="n">
        <v>89.5367</v>
      </c>
      <c r="G49" s="24" t="n">
        <v>2233.609</v>
      </c>
      <c r="H49" s="12" t="n">
        <v>199990</v>
      </c>
      <c r="I49" s="13" t="n">
        <f aca="false">-H49</f>
        <v>-199990</v>
      </c>
    </row>
    <row r="50" customFormat="false" ht="15" hidden="false" customHeight="false" outlineLevel="0" collapsed="false">
      <c r="A50" s="11" t="s">
        <v>46</v>
      </c>
      <c r="B50" s="11" t="s">
        <v>47</v>
      </c>
      <c r="C50" s="11" t="s">
        <v>48</v>
      </c>
      <c r="D50" s="22" t="n">
        <v>45798</v>
      </c>
      <c r="E50" s="11" t="s">
        <v>144</v>
      </c>
      <c r="F50" s="23" t="n">
        <v>89.8657</v>
      </c>
      <c r="G50" s="24" t="n">
        <v>2225.432</v>
      </c>
      <c r="H50" s="12" t="n">
        <v>199990</v>
      </c>
      <c r="I50" s="13" t="n">
        <f aca="false">-H50</f>
        <v>-199990</v>
      </c>
    </row>
    <row r="51" customFormat="false" ht="15" hidden="false" customHeight="false" outlineLevel="0" collapsed="false">
      <c r="A51" s="11" t="s">
        <v>46</v>
      </c>
      <c r="B51" s="11" t="s">
        <v>47</v>
      </c>
      <c r="C51" s="11" t="s">
        <v>48</v>
      </c>
      <c r="D51" s="22" t="n">
        <v>45799</v>
      </c>
      <c r="E51" s="11" t="s">
        <v>144</v>
      </c>
      <c r="F51" s="23" t="n">
        <v>89.4835</v>
      </c>
      <c r="G51" s="24" t="n">
        <v>2234.937</v>
      </c>
      <c r="H51" s="12" t="n">
        <v>199990</v>
      </c>
      <c r="I51" s="13" t="n">
        <f aca="false">-H51</f>
        <v>-199990</v>
      </c>
    </row>
    <row r="52" customFormat="false" ht="15" hidden="false" customHeight="false" outlineLevel="0" collapsed="false">
      <c r="A52" s="11" t="s">
        <v>46</v>
      </c>
      <c r="B52" s="11" t="s">
        <v>47</v>
      </c>
      <c r="C52" s="11" t="s">
        <v>48</v>
      </c>
      <c r="D52" s="22" t="n">
        <v>45806</v>
      </c>
      <c r="E52" s="11" t="s">
        <v>144</v>
      </c>
      <c r="F52" s="23" t="n">
        <v>89.9176</v>
      </c>
      <c r="G52" s="24" t="n">
        <v>2224.147</v>
      </c>
      <c r="H52" s="12" t="n">
        <v>199990</v>
      </c>
      <c r="I52" s="13" t="n">
        <f aca="false">-H52</f>
        <v>-199990</v>
      </c>
    </row>
    <row r="53" customFormat="false" ht="15" hidden="false" customHeight="false" outlineLevel="0" collapsed="false">
      <c r="A53" s="11" t="s">
        <v>46</v>
      </c>
      <c r="B53" s="11" t="s">
        <v>47</v>
      </c>
      <c r="C53" s="11" t="s">
        <v>48</v>
      </c>
      <c r="D53" s="22" t="n">
        <v>45818</v>
      </c>
      <c r="E53" s="11" t="s">
        <v>144</v>
      </c>
      <c r="F53" s="23" t="n">
        <v>91.9973</v>
      </c>
      <c r="G53" s="24" t="n">
        <v>2173.868</v>
      </c>
      <c r="H53" s="12" t="n">
        <v>199990</v>
      </c>
      <c r="I53" s="13" t="n">
        <f aca="false">-H53</f>
        <v>-199990</v>
      </c>
    </row>
    <row r="54" customFormat="false" ht="15" hidden="false" customHeight="false" outlineLevel="0" collapsed="false">
      <c r="A54" s="25" t="s">
        <v>46</v>
      </c>
      <c r="B54" s="25" t="s">
        <v>47</v>
      </c>
      <c r="C54" s="25" t="s">
        <v>48</v>
      </c>
      <c r="D54" s="26" t="n">
        <v>46235</v>
      </c>
      <c r="E54" s="27" t="s">
        <v>105</v>
      </c>
      <c r="F54" s="25"/>
      <c r="G54" s="25"/>
      <c r="H54" s="25"/>
      <c r="I54" s="28" t="n">
        <v>1021047.9</v>
      </c>
    </row>
    <row r="55" customFormat="false" ht="15" hidden="false" customHeight="false" outlineLevel="0" collapsed="false">
      <c r="A55" s="11" t="s">
        <v>50</v>
      </c>
      <c r="B55" s="11" t="s">
        <v>51</v>
      </c>
      <c r="C55" s="11" t="s">
        <v>52</v>
      </c>
      <c r="D55" s="22" t="n">
        <v>45293</v>
      </c>
      <c r="E55" s="11" t="s">
        <v>145</v>
      </c>
      <c r="F55" s="23" t="n">
        <v>57.94</v>
      </c>
      <c r="G55" s="24" t="n">
        <v>3451.674</v>
      </c>
      <c r="H55" s="12" t="n">
        <v>199990</v>
      </c>
      <c r="I55" s="13" t="n">
        <f aca="false">-H55</f>
        <v>-199990</v>
      </c>
    </row>
    <row r="56" customFormat="false" ht="15" hidden="false" customHeight="false" outlineLevel="0" collapsed="false">
      <c r="A56" s="11" t="s">
        <v>50</v>
      </c>
      <c r="B56" s="11" t="s">
        <v>51</v>
      </c>
      <c r="C56" s="11" t="s">
        <v>52</v>
      </c>
      <c r="D56" s="22" t="n">
        <v>45657</v>
      </c>
      <c r="E56" s="11" t="s">
        <v>146</v>
      </c>
      <c r="F56" s="23" t="n">
        <v>69.33</v>
      </c>
      <c r="G56" s="24" t="n">
        <v>2884.61</v>
      </c>
      <c r="H56" s="12" t="n">
        <v>199990</v>
      </c>
      <c r="I56" s="13" t="n">
        <f aca="false">-H56</f>
        <v>-199990</v>
      </c>
    </row>
    <row r="57" customFormat="false" ht="15" hidden="false" customHeight="false" outlineLevel="0" collapsed="false">
      <c r="A57" s="25" t="s">
        <v>50</v>
      </c>
      <c r="B57" s="25" t="s">
        <v>51</v>
      </c>
      <c r="C57" s="25" t="s">
        <v>52</v>
      </c>
      <c r="D57" s="26" t="n">
        <v>46235</v>
      </c>
      <c r="E57" s="27" t="s">
        <v>105</v>
      </c>
      <c r="F57" s="25"/>
      <c r="G57" s="25"/>
      <c r="H57" s="25"/>
      <c r="I57" s="28" t="n">
        <v>461915.1</v>
      </c>
    </row>
    <row r="58" customFormat="false" ht="15" hidden="false" customHeight="false" outlineLevel="0" collapsed="false">
      <c r="A58" s="11" t="s">
        <v>54</v>
      </c>
      <c r="B58" s="11" t="s">
        <v>55</v>
      </c>
      <c r="C58" s="11" t="s">
        <v>57</v>
      </c>
      <c r="D58" s="22" t="n">
        <v>45394</v>
      </c>
      <c r="E58" s="11" t="s">
        <v>147</v>
      </c>
      <c r="F58" s="23" t="n">
        <v>135.561</v>
      </c>
      <c r="G58" s="24" t="n">
        <v>1475.277</v>
      </c>
      <c r="H58" s="12" t="n">
        <v>199990</v>
      </c>
      <c r="I58" s="13" t="n">
        <f aca="false">-H58</f>
        <v>-199990</v>
      </c>
    </row>
    <row r="59" customFormat="false" ht="15" hidden="false" customHeight="false" outlineLevel="0" collapsed="false">
      <c r="A59" s="11" t="s">
        <v>54</v>
      </c>
      <c r="B59" s="11" t="s">
        <v>55</v>
      </c>
      <c r="C59" s="11" t="s">
        <v>57</v>
      </c>
      <c r="D59" s="22" t="n">
        <v>46022</v>
      </c>
      <c r="E59" s="11" t="s">
        <v>148</v>
      </c>
      <c r="F59" s="23" t="n">
        <v>170.2774</v>
      </c>
      <c r="G59" s="24" t="n">
        <v>1174.495</v>
      </c>
      <c r="H59" s="12" t="n">
        <v>199990</v>
      </c>
      <c r="I59" s="13" t="n">
        <f aca="false">-H59</f>
        <v>-199990</v>
      </c>
    </row>
    <row r="60" customFormat="false" ht="15" hidden="false" customHeight="false" outlineLevel="0" collapsed="false">
      <c r="A60" s="11" t="s">
        <v>54</v>
      </c>
      <c r="B60" s="11" t="s">
        <v>55</v>
      </c>
      <c r="C60" s="11" t="s">
        <v>57</v>
      </c>
      <c r="D60" s="22" t="n">
        <v>46113</v>
      </c>
      <c r="E60" s="11" t="s">
        <v>149</v>
      </c>
      <c r="F60" s="23" t="n">
        <v>166.0331</v>
      </c>
      <c r="G60" s="24" t="n">
        <v>1204.519</v>
      </c>
      <c r="H60" s="12" t="n">
        <v>199990</v>
      </c>
      <c r="I60" s="13" t="n">
        <f aca="false">-H60</f>
        <v>-199990</v>
      </c>
    </row>
    <row r="61" customFormat="false" ht="15" hidden="false" customHeight="false" outlineLevel="0" collapsed="false">
      <c r="A61" s="11" t="s">
        <v>54</v>
      </c>
      <c r="B61" s="11" t="s">
        <v>55</v>
      </c>
      <c r="C61" s="11" t="s">
        <v>57</v>
      </c>
      <c r="D61" s="22" t="n">
        <v>46113</v>
      </c>
      <c r="E61" s="11" t="s">
        <v>150</v>
      </c>
      <c r="F61" s="23" t="n">
        <v>166.0331</v>
      </c>
      <c r="G61" s="24" t="n">
        <v>1204.519</v>
      </c>
      <c r="H61" s="12" t="n">
        <v>199990</v>
      </c>
      <c r="I61" s="13" t="n">
        <f aca="false">-H61</f>
        <v>-199990</v>
      </c>
    </row>
    <row r="62" customFormat="false" ht="15" hidden="false" customHeight="false" outlineLevel="0" collapsed="false">
      <c r="A62" s="11" t="s">
        <v>54</v>
      </c>
      <c r="B62" s="11" t="s">
        <v>55</v>
      </c>
      <c r="C62" s="11" t="s">
        <v>57</v>
      </c>
      <c r="D62" s="22" t="n">
        <v>46148</v>
      </c>
      <c r="E62" s="11" t="s">
        <v>151</v>
      </c>
      <c r="F62" s="23" t="n">
        <v>178.3029</v>
      </c>
      <c r="G62" s="24" t="n">
        <v>1121.631</v>
      </c>
      <c r="H62" s="12" t="n">
        <v>199990</v>
      </c>
      <c r="I62" s="13" t="n">
        <f aca="false">-H62</f>
        <v>-199990</v>
      </c>
    </row>
    <row r="63" customFormat="false" ht="15" hidden="false" customHeight="false" outlineLevel="0" collapsed="false">
      <c r="A63" s="25" t="s">
        <v>54</v>
      </c>
      <c r="B63" s="25" t="s">
        <v>55</v>
      </c>
      <c r="C63" s="25" t="s">
        <v>57</v>
      </c>
      <c r="D63" s="26" t="n">
        <v>46235</v>
      </c>
      <c r="E63" s="27" t="s">
        <v>105</v>
      </c>
      <c r="F63" s="25"/>
      <c r="G63" s="25"/>
      <c r="H63" s="25"/>
      <c r="I63" s="28" t="n">
        <v>1130434.8</v>
      </c>
    </row>
    <row r="64" customFormat="false" ht="15" hidden="false" customHeight="false" outlineLevel="0" collapsed="false">
      <c r="A64" s="11" t="s">
        <v>59</v>
      </c>
      <c r="B64" s="11" t="s">
        <v>60</v>
      </c>
      <c r="C64" s="11" t="s">
        <v>52</v>
      </c>
      <c r="D64" s="22" t="n">
        <v>45293</v>
      </c>
      <c r="E64" s="11" t="s">
        <v>152</v>
      </c>
      <c r="F64" s="23" t="n">
        <v>80.3585</v>
      </c>
      <c r="G64" s="24" t="n">
        <v>2488.722</v>
      </c>
      <c r="H64" s="12" t="n">
        <v>199990</v>
      </c>
      <c r="I64" s="13" t="n">
        <f aca="false">-H64</f>
        <v>-199990</v>
      </c>
    </row>
    <row r="65" customFormat="false" ht="15" hidden="false" customHeight="false" outlineLevel="0" collapsed="false">
      <c r="A65" s="11" t="s">
        <v>59</v>
      </c>
      <c r="B65" s="11" t="s">
        <v>60</v>
      </c>
      <c r="C65" s="11" t="s">
        <v>52</v>
      </c>
      <c r="D65" s="22" t="n">
        <v>45681</v>
      </c>
      <c r="E65" s="11" t="s">
        <v>153</v>
      </c>
      <c r="F65" s="23" t="n">
        <v>91.4588</v>
      </c>
      <c r="G65" s="24" t="n">
        <v>2186.668</v>
      </c>
      <c r="H65" s="12" t="n">
        <v>199990</v>
      </c>
      <c r="I65" s="13" t="n">
        <f aca="false">-H65</f>
        <v>-199990</v>
      </c>
    </row>
    <row r="66" customFormat="false" ht="15" hidden="false" customHeight="false" outlineLevel="0" collapsed="false">
      <c r="A66" s="11" t="s">
        <v>59</v>
      </c>
      <c r="B66" s="11" t="s">
        <v>60</v>
      </c>
      <c r="C66" s="11" t="s">
        <v>52</v>
      </c>
      <c r="D66" s="22" t="n">
        <v>45720</v>
      </c>
      <c r="E66" s="11" t="s">
        <v>154</v>
      </c>
      <c r="F66" s="23" t="n">
        <v>87.1643</v>
      </c>
      <c r="G66" s="24" t="n">
        <v>2294.403</v>
      </c>
      <c r="H66" s="12" t="n">
        <v>199990</v>
      </c>
      <c r="I66" s="13" t="n">
        <f aca="false">-H66</f>
        <v>-199990</v>
      </c>
    </row>
    <row r="67" customFormat="false" ht="15" hidden="false" customHeight="false" outlineLevel="0" collapsed="false">
      <c r="A67" s="11" t="s">
        <v>59</v>
      </c>
      <c r="B67" s="11" t="s">
        <v>60</v>
      </c>
      <c r="C67" s="11" t="s">
        <v>52</v>
      </c>
      <c r="D67" s="22" t="n">
        <v>45789</v>
      </c>
      <c r="E67" s="11" t="s">
        <v>155</v>
      </c>
      <c r="F67" s="23" t="n">
        <v>97.9099</v>
      </c>
      <c r="G67" s="24" t="n">
        <v>2042.592</v>
      </c>
      <c r="H67" s="12" t="n">
        <v>199990</v>
      </c>
      <c r="I67" s="13" t="n">
        <f aca="false">-H67</f>
        <v>-199990</v>
      </c>
    </row>
    <row r="68" customFormat="false" ht="15" hidden="false" customHeight="false" outlineLevel="0" collapsed="false">
      <c r="A68" s="11" t="s">
        <v>59</v>
      </c>
      <c r="B68" s="11" t="s">
        <v>60</v>
      </c>
      <c r="C68" s="11" t="s">
        <v>52</v>
      </c>
      <c r="D68" s="22" t="n">
        <v>45799</v>
      </c>
      <c r="E68" s="11" t="s">
        <v>156</v>
      </c>
      <c r="F68" s="23" t="n">
        <v>97.9101</v>
      </c>
      <c r="G68" s="24" t="n">
        <v>2042.588</v>
      </c>
      <c r="H68" s="12" t="n">
        <v>199990</v>
      </c>
      <c r="I68" s="13" t="n">
        <f aca="false">-H68</f>
        <v>-199990</v>
      </c>
    </row>
    <row r="69" customFormat="false" ht="15" hidden="false" customHeight="false" outlineLevel="0" collapsed="false">
      <c r="A69" s="11" t="s">
        <v>59</v>
      </c>
      <c r="B69" s="11" t="s">
        <v>60</v>
      </c>
      <c r="C69" s="11" t="s">
        <v>52</v>
      </c>
      <c r="D69" s="22" t="n">
        <v>45806</v>
      </c>
      <c r="E69" s="11" t="s">
        <v>157</v>
      </c>
      <c r="F69" s="23" t="n">
        <v>99.4341</v>
      </c>
      <c r="G69" s="24" t="n">
        <v>2011.282</v>
      </c>
      <c r="H69" s="12" t="n">
        <v>199990</v>
      </c>
      <c r="I69" s="13" t="n">
        <f aca="false">-H69</f>
        <v>-199990</v>
      </c>
    </row>
    <row r="70" customFormat="false" ht="15" hidden="false" customHeight="false" outlineLevel="0" collapsed="false">
      <c r="A70" s="11" t="s">
        <v>59</v>
      </c>
      <c r="B70" s="11" t="s">
        <v>60</v>
      </c>
      <c r="C70" s="11" t="s">
        <v>52</v>
      </c>
      <c r="D70" s="22" t="n">
        <v>45818</v>
      </c>
      <c r="E70" s="11" t="s">
        <v>158</v>
      </c>
      <c r="F70" s="23" t="n">
        <v>101.2256</v>
      </c>
      <c r="G70" s="24" t="n">
        <v>1975.686</v>
      </c>
      <c r="H70" s="12" t="n">
        <v>199990</v>
      </c>
      <c r="I70" s="13" t="n">
        <f aca="false">-H70</f>
        <v>-199990</v>
      </c>
    </row>
    <row r="71" customFormat="false" ht="15" hidden="false" customHeight="false" outlineLevel="0" collapsed="false">
      <c r="A71" s="11" t="s">
        <v>59</v>
      </c>
      <c r="B71" s="11" t="s">
        <v>60</v>
      </c>
      <c r="C71" s="11" t="s">
        <v>52</v>
      </c>
      <c r="D71" s="22" t="n">
        <v>45847</v>
      </c>
      <c r="E71" s="11" t="s">
        <v>159</v>
      </c>
      <c r="F71" s="23" t="n">
        <v>102.039</v>
      </c>
      <c r="G71" s="24" t="n">
        <v>1959.937</v>
      </c>
      <c r="H71" s="12" t="n">
        <v>199990</v>
      </c>
      <c r="I71" s="13" t="n">
        <f aca="false">-H71</f>
        <v>-199990</v>
      </c>
    </row>
    <row r="72" customFormat="false" ht="15" hidden="false" customHeight="false" outlineLevel="0" collapsed="false">
      <c r="A72" s="11" t="s">
        <v>59</v>
      </c>
      <c r="B72" s="11" t="s">
        <v>60</v>
      </c>
      <c r="C72" s="11" t="s">
        <v>52</v>
      </c>
      <c r="D72" s="22" t="n">
        <v>45931</v>
      </c>
      <c r="E72" s="11" t="s">
        <v>160</v>
      </c>
      <c r="F72" s="23" t="n">
        <v>102.0581</v>
      </c>
      <c r="G72" s="24" t="n">
        <v>1959.57</v>
      </c>
      <c r="H72" s="12" t="n">
        <v>199990</v>
      </c>
      <c r="I72" s="13" t="n">
        <f aca="false">-H72</f>
        <v>-199990</v>
      </c>
    </row>
    <row r="73" customFormat="false" ht="15" hidden="false" customHeight="false" outlineLevel="0" collapsed="false">
      <c r="A73" s="11" t="s">
        <v>59</v>
      </c>
      <c r="B73" s="11" t="s">
        <v>60</v>
      </c>
      <c r="C73" s="11" t="s">
        <v>52</v>
      </c>
      <c r="D73" s="22" t="n">
        <v>46022</v>
      </c>
      <c r="E73" s="11" t="s">
        <v>161</v>
      </c>
      <c r="F73" s="23" t="n">
        <v>105.3421</v>
      </c>
      <c r="G73" s="24" t="n">
        <v>1898.481</v>
      </c>
      <c r="H73" s="12" t="n">
        <v>199990</v>
      </c>
      <c r="I73" s="13" t="n">
        <f aca="false">-H73</f>
        <v>-199990</v>
      </c>
    </row>
    <row r="74" customFormat="false" ht="15" hidden="false" customHeight="false" outlineLevel="0" collapsed="false">
      <c r="A74" s="25" t="s">
        <v>59</v>
      </c>
      <c r="B74" s="25" t="s">
        <v>60</v>
      </c>
      <c r="C74" s="25" t="s">
        <v>52</v>
      </c>
      <c r="D74" s="26" t="n">
        <v>46235</v>
      </c>
      <c r="E74" s="27" t="s">
        <v>105</v>
      </c>
      <c r="F74" s="25"/>
      <c r="G74" s="25"/>
      <c r="H74" s="25"/>
      <c r="I74" s="28" t="n">
        <v>2123818.21</v>
      </c>
    </row>
    <row r="75" customFormat="false" ht="15" hidden="false" customHeight="false" outlineLevel="0" collapsed="false">
      <c r="A75" s="11" t="s">
        <v>62</v>
      </c>
      <c r="B75" s="11" t="s">
        <v>60</v>
      </c>
      <c r="C75" s="11" t="s">
        <v>44</v>
      </c>
      <c r="D75" s="22" t="n">
        <v>45287</v>
      </c>
      <c r="E75" s="11" t="s">
        <v>162</v>
      </c>
      <c r="F75" s="23" t="n">
        <v>3429.0746</v>
      </c>
      <c r="G75" s="24" t="n">
        <v>58.322</v>
      </c>
      <c r="H75" s="12" t="n">
        <v>199990</v>
      </c>
      <c r="I75" s="13" t="n">
        <f aca="false">-H75</f>
        <v>-199990</v>
      </c>
    </row>
    <row r="76" customFormat="false" ht="15" hidden="false" customHeight="false" outlineLevel="0" collapsed="false">
      <c r="A76" s="11" t="s">
        <v>62</v>
      </c>
      <c r="B76" s="11" t="s">
        <v>60</v>
      </c>
      <c r="C76" s="11" t="s">
        <v>44</v>
      </c>
      <c r="D76" s="22" t="n">
        <v>45485</v>
      </c>
      <c r="E76" s="11" t="s">
        <v>163</v>
      </c>
      <c r="F76" s="23" t="n">
        <v>4322.6062</v>
      </c>
      <c r="G76" s="24" t="n">
        <v>46.266</v>
      </c>
      <c r="H76" s="12" t="n">
        <v>199990</v>
      </c>
      <c r="I76" s="13" t="n">
        <f aca="false">-H76</f>
        <v>-199990</v>
      </c>
    </row>
    <row r="77" customFormat="false" ht="15" hidden="false" customHeight="false" outlineLevel="0" collapsed="false">
      <c r="A77" s="11" t="s">
        <v>62</v>
      </c>
      <c r="B77" s="11" t="s">
        <v>60</v>
      </c>
      <c r="C77" s="11" t="s">
        <v>44</v>
      </c>
      <c r="D77" s="22" t="n">
        <v>45783</v>
      </c>
      <c r="E77" s="11" t="s">
        <v>164</v>
      </c>
      <c r="F77" s="23" t="n">
        <v>4144.3912</v>
      </c>
      <c r="G77" s="24" t="n">
        <v>24.128</v>
      </c>
      <c r="H77" s="12" t="n">
        <v>99995</v>
      </c>
      <c r="I77" s="13" t="n">
        <f aca="false">-H77</f>
        <v>-99995</v>
      </c>
    </row>
    <row r="78" customFormat="false" ht="15" hidden="false" customHeight="false" outlineLevel="0" collapsed="false">
      <c r="A78" s="11" t="s">
        <v>62</v>
      </c>
      <c r="B78" s="11" t="s">
        <v>60</v>
      </c>
      <c r="C78" s="11" t="s">
        <v>44</v>
      </c>
      <c r="D78" s="22" t="n">
        <v>45818</v>
      </c>
      <c r="E78" s="11" t="s">
        <v>165</v>
      </c>
      <c r="F78" s="23" t="n">
        <v>4592.6031</v>
      </c>
      <c r="G78" s="24" t="n">
        <v>43.546</v>
      </c>
      <c r="H78" s="12" t="n">
        <v>199990</v>
      </c>
      <c r="I78" s="13" t="n">
        <f aca="false">-H78</f>
        <v>-199990</v>
      </c>
    </row>
    <row r="79" customFormat="false" ht="15" hidden="false" customHeight="false" outlineLevel="0" collapsed="false">
      <c r="A79" s="11" t="s">
        <v>62</v>
      </c>
      <c r="B79" s="11" t="s">
        <v>60</v>
      </c>
      <c r="C79" s="11" t="s">
        <v>44</v>
      </c>
      <c r="D79" s="22" t="n">
        <v>45863</v>
      </c>
      <c r="E79" s="11" t="s">
        <v>166</v>
      </c>
      <c r="F79" s="23" t="n">
        <v>4533.4967</v>
      </c>
      <c r="G79" s="24" t="n">
        <v>44.114</v>
      </c>
      <c r="H79" s="12" t="n">
        <v>199990</v>
      </c>
      <c r="I79" s="13" t="n">
        <f aca="false">-H79</f>
        <v>-199990</v>
      </c>
    </row>
    <row r="80" customFormat="false" ht="15" hidden="false" customHeight="false" outlineLevel="0" collapsed="false">
      <c r="A80" s="11" t="s">
        <v>62</v>
      </c>
      <c r="B80" s="11" t="s">
        <v>60</v>
      </c>
      <c r="C80" s="11" t="s">
        <v>44</v>
      </c>
      <c r="D80" s="22" t="n">
        <v>45881</v>
      </c>
      <c r="E80" s="11" t="s">
        <v>167</v>
      </c>
      <c r="F80" s="23" t="n">
        <v>4455.4384</v>
      </c>
      <c r="G80" s="24" t="n">
        <v>44.887</v>
      </c>
      <c r="H80" s="12" t="n">
        <v>199990</v>
      </c>
      <c r="I80" s="13" t="n">
        <f aca="false">-H80</f>
        <v>-199990</v>
      </c>
    </row>
    <row r="81" customFormat="false" ht="15" hidden="false" customHeight="false" outlineLevel="0" collapsed="false">
      <c r="A81" s="11" t="s">
        <v>62</v>
      </c>
      <c r="B81" s="11" t="s">
        <v>60</v>
      </c>
      <c r="C81" s="11" t="s">
        <v>44</v>
      </c>
      <c r="D81" s="22" t="n">
        <v>45925</v>
      </c>
      <c r="E81" s="11" t="s">
        <v>168</v>
      </c>
      <c r="F81" s="23" t="n">
        <v>4540.9589</v>
      </c>
      <c r="G81" s="24" t="n">
        <v>44.041</v>
      </c>
      <c r="H81" s="12" t="n">
        <v>199990</v>
      </c>
      <c r="I81" s="13" t="n">
        <f aca="false">-H81</f>
        <v>-199990</v>
      </c>
    </row>
    <row r="82" customFormat="false" ht="15" hidden="false" customHeight="false" outlineLevel="0" collapsed="false">
      <c r="A82" s="11" t="s">
        <v>62</v>
      </c>
      <c r="B82" s="11" t="s">
        <v>60</v>
      </c>
      <c r="C82" s="11" t="s">
        <v>44</v>
      </c>
      <c r="D82" s="22" t="n">
        <v>45973</v>
      </c>
      <c r="E82" s="11" t="s">
        <v>169</v>
      </c>
      <c r="F82" s="23" t="n">
        <v>4699.7211</v>
      </c>
      <c r="G82" s="24" t="n">
        <v>42.554</v>
      </c>
      <c r="H82" s="12" t="n">
        <v>199990</v>
      </c>
      <c r="I82" s="13" t="n">
        <f aca="false">-H82</f>
        <v>-199990</v>
      </c>
    </row>
    <row r="83" customFormat="false" ht="15" hidden="false" customHeight="false" outlineLevel="0" collapsed="false">
      <c r="A83" s="11" t="s">
        <v>62</v>
      </c>
      <c r="B83" s="11" t="s">
        <v>60</v>
      </c>
      <c r="C83" s="11" t="s">
        <v>44</v>
      </c>
      <c r="D83" s="22" t="n">
        <v>46003</v>
      </c>
      <c r="E83" s="11" t="s">
        <v>170</v>
      </c>
      <c r="F83" s="23" t="n">
        <v>4626.1539</v>
      </c>
      <c r="G83" s="24" t="n">
        <v>43.23</v>
      </c>
      <c r="H83" s="12" t="n">
        <v>199990</v>
      </c>
      <c r="I83" s="13" t="n">
        <f aca="false">-H83</f>
        <v>-199990</v>
      </c>
    </row>
    <row r="84" customFormat="false" ht="15" hidden="false" customHeight="false" outlineLevel="0" collapsed="false">
      <c r="A84" s="11" t="s">
        <v>62</v>
      </c>
      <c r="B84" s="11" t="s">
        <v>60</v>
      </c>
      <c r="C84" s="11" t="s">
        <v>44</v>
      </c>
      <c r="D84" s="22" t="n">
        <v>46069</v>
      </c>
      <c r="E84" s="11" t="s">
        <v>171</v>
      </c>
      <c r="F84" s="23" t="n">
        <v>4756.8444</v>
      </c>
      <c r="G84" s="24" t="n">
        <v>42.043</v>
      </c>
      <c r="H84" s="12" t="n">
        <v>199990</v>
      </c>
      <c r="I84" s="13" t="n">
        <f aca="false">-H84</f>
        <v>-199990</v>
      </c>
    </row>
    <row r="85" customFormat="false" ht="15" hidden="false" customHeight="false" outlineLevel="0" collapsed="false">
      <c r="A85" s="11" t="s">
        <v>62</v>
      </c>
      <c r="B85" s="11" t="s">
        <v>60</v>
      </c>
      <c r="C85" s="11" t="s">
        <v>44</v>
      </c>
      <c r="D85" s="22" t="n">
        <v>46076</v>
      </c>
      <c r="E85" s="11" t="s">
        <v>172</v>
      </c>
      <c r="F85" s="23" t="n">
        <v>4759.693</v>
      </c>
      <c r="G85" s="24" t="n">
        <v>42.017</v>
      </c>
      <c r="H85" s="12" t="n">
        <v>199990</v>
      </c>
      <c r="I85" s="13" t="n">
        <f aca="false">-H85</f>
        <v>-199990</v>
      </c>
    </row>
    <row r="86" customFormat="false" ht="15" hidden="false" customHeight="false" outlineLevel="0" collapsed="false">
      <c r="A86" s="11" t="s">
        <v>62</v>
      </c>
      <c r="B86" s="11" t="s">
        <v>60</v>
      </c>
      <c r="C86" s="11" t="s">
        <v>44</v>
      </c>
      <c r="D86" s="22" t="n">
        <v>46113</v>
      </c>
      <c r="E86" s="11" t="s">
        <v>173</v>
      </c>
      <c r="F86" s="23" t="n">
        <v>4289.0197</v>
      </c>
      <c r="G86" s="24" t="n">
        <v>46.628</v>
      </c>
      <c r="H86" s="12" t="n">
        <v>199990</v>
      </c>
      <c r="I86" s="13" t="n">
        <f aca="false">-H86</f>
        <v>-199990</v>
      </c>
    </row>
    <row r="87" customFormat="false" ht="15" hidden="false" customHeight="false" outlineLevel="0" collapsed="false">
      <c r="A87" s="25" t="s">
        <v>62</v>
      </c>
      <c r="B87" s="25" t="s">
        <v>60</v>
      </c>
      <c r="C87" s="25" t="s">
        <v>44</v>
      </c>
      <c r="D87" s="26" t="n">
        <v>46235</v>
      </c>
      <c r="E87" s="27" t="s">
        <v>105</v>
      </c>
      <c r="F87" s="25"/>
      <c r="G87" s="25"/>
      <c r="H87" s="25"/>
      <c r="I87" s="28" t="n">
        <v>2602141.47</v>
      </c>
    </row>
    <row r="88" customFormat="false" ht="15" hidden="false" customHeight="false" outlineLevel="0" collapsed="false">
      <c r="A88" s="29" t="s">
        <v>63</v>
      </c>
      <c r="B88" s="30" t="s">
        <v>64</v>
      </c>
      <c r="C88" s="30" t="s">
        <v>44</v>
      </c>
      <c r="D88" s="30"/>
      <c r="E88" s="15" t="s">
        <v>174</v>
      </c>
      <c r="F88" s="30"/>
      <c r="G88" s="30"/>
      <c r="H88" s="30"/>
      <c r="I88" s="30"/>
    </row>
    <row r="90" customFormat="false" ht="15" hidden="false" customHeight="false" outlineLevel="0" collapsed="false">
      <c r="A90" s="31" t="s">
        <v>175</v>
      </c>
      <c r="B90" s="31"/>
      <c r="C90" s="31"/>
      <c r="D90" s="31"/>
      <c r="E90" s="31"/>
      <c r="F90" s="31"/>
      <c r="G90" s="31"/>
      <c r="H90" s="31"/>
      <c r="I90" s="31"/>
    </row>
    <row r="91" customFormat="false" ht="15" hidden="false" customHeight="false" outlineLevel="0" collapsed="false">
      <c r="A91" s="11" t="s">
        <v>176</v>
      </c>
      <c r="B91" s="11" t="s">
        <v>38</v>
      </c>
      <c r="C91" s="11" t="s">
        <v>177</v>
      </c>
      <c r="D91" s="22" t="n">
        <v>45783</v>
      </c>
      <c r="E91" s="11" t="s">
        <v>178</v>
      </c>
      <c r="F91" s="23" t="n">
        <v>698.981</v>
      </c>
      <c r="G91" s="24" t="n">
        <v>-10.563</v>
      </c>
      <c r="H91" s="12" t="n">
        <v>-7073.27</v>
      </c>
      <c r="I91" s="13" t="n">
        <f aca="false">-H91</f>
        <v>7073.27</v>
      </c>
    </row>
    <row r="92" customFormat="false" ht="15" hidden="false" customHeight="false" outlineLevel="0" collapsed="false">
      <c r="A92" s="11" t="s">
        <v>179</v>
      </c>
      <c r="B92" s="11" t="s">
        <v>43</v>
      </c>
      <c r="C92" s="11" t="s">
        <v>180</v>
      </c>
      <c r="D92" s="22" t="n">
        <v>45642</v>
      </c>
      <c r="E92" s="11" t="s">
        <v>181</v>
      </c>
      <c r="F92" s="23" t="n">
        <v>20.713</v>
      </c>
      <c r="G92" s="24" t="n">
        <v>9655.289</v>
      </c>
      <c r="H92" s="12" t="n">
        <v>199990</v>
      </c>
      <c r="I92" s="13" t="n">
        <f aca="false">-H92</f>
        <v>-199990</v>
      </c>
    </row>
    <row r="93" customFormat="false" ht="15" hidden="false" customHeight="false" outlineLevel="0" collapsed="false">
      <c r="A93" s="11" t="s">
        <v>179</v>
      </c>
      <c r="B93" s="11" t="s">
        <v>43</v>
      </c>
      <c r="C93" s="11" t="s">
        <v>180</v>
      </c>
      <c r="D93" s="22" t="n">
        <v>45649</v>
      </c>
      <c r="E93" s="11" t="s">
        <v>181</v>
      </c>
      <c r="F93" s="23" t="n">
        <v>19.898</v>
      </c>
      <c r="G93" s="24" t="n">
        <v>10050.759</v>
      </c>
      <c r="H93" s="12" t="n">
        <v>199990</v>
      </c>
      <c r="I93" s="13" t="n">
        <f aca="false">-H93</f>
        <v>-199990</v>
      </c>
    </row>
    <row r="94" customFormat="false" ht="15" hidden="false" customHeight="false" outlineLevel="0" collapsed="false">
      <c r="A94" s="11" t="s">
        <v>179</v>
      </c>
      <c r="B94" s="11" t="s">
        <v>43</v>
      </c>
      <c r="C94" s="11" t="s">
        <v>180</v>
      </c>
      <c r="D94" s="22" t="n">
        <v>45783</v>
      </c>
      <c r="E94" s="11" t="s">
        <v>182</v>
      </c>
      <c r="F94" s="23" t="n">
        <v>18.257</v>
      </c>
      <c r="G94" s="24" t="n">
        <v>-17735.443</v>
      </c>
      <c r="H94" s="12" t="n">
        <v>-323792.74</v>
      </c>
      <c r="I94" s="13" t="n">
        <f aca="false">-H94</f>
        <v>323792.74</v>
      </c>
    </row>
    <row r="95" customFormat="false" ht="15" hidden="false" customHeight="false" outlineLevel="0" collapsed="false">
      <c r="A95" s="11" t="s">
        <v>179</v>
      </c>
      <c r="B95" s="11" t="s">
        <v>43</v>
      </c>
      <c r="C95" s="11" t="s">
        <v>180</v>
      </c>
      <c r="D95" s="22" t="n">
        <v>45783</v>
      </c>
      <c r="E95" s="11" t="s">
        <v>182</v>
      </c>
      <c r="F95" s="23" t="n">
        <v>18.441</v>
      </c>
      <c r="G95" s="24" t="n">
        <v>-1970.605</v>
      </c>
      <c r="H95" s="12" t="n">
        <v>-36339.57</v>
      </c>
      <c r="I95" s="13" t="n">
        <f aca="false">-H95</f>
        <v>36339.57</v>
      </c>
    </row>
    <row r="96" customFormat="false" ht="15" hidden="false" customHeight="false" outlineLevel="0" collapsed="false">
      <c r="A96" s="11" t="s">
        <v>183</v>
      </c>
      <c r="B96" s="11" t="s">
        <v>55</v>
      </c>
      <c r="C96" s="11" t="s">
        <v>180</v>
      </c>
      <c r="D96" s="22" t="n">
        <v>45174</v>
      </c>
      <c r="E96" s="11" t="s">
        <v>184</v>
      </c>
      <c r="F96" s="23" t="n">
        <v>549.8351</v>
      </c>
      <c r="G96" s="24" t="n">
        <v>363.727</v>
      </c>
      <c r="H96" s="12" t="n">
        <v>199990</v>
      </c>
      <c r="I96" s="13" t="n">
        <f aca="false">-H96</f>
        <v>-199990</v>
      </c>
    </row>
    <row r="97" customFormat="false" ht="15" hidden="false" customHeight="false" outlineLevel="0" collapsed="false">
      <c r="A97" s="11" t="s">
        <v>183</v>
      </c>
      <c r="B97" s="11" t="s">
        <v>55</v>
      </c>
      <c r="C97" s="11" t="s">
        <v>180</v>
      </c>
      <c r="D97" s="22" t="n">
        <v>45196</v>
      </c>
      <c r="E97" s="11" t="s">
        <v>185</v>
      </c>
      <c r="F97" s="23" t="n">
        <v>544.9131</v>
      </c>
      <c r="G97" s="24" t="n">
        <v>367.013</v>
      </c>
      <c r="H97" s="12" t="n">
        <v>199990</v>
      </c>
      <c r="I97" s="13" t="n">
        <f aca="false">-H97</f>
        <v>-199990</v>
      </c>
    </row>
    <row r="98" customFormat="false" ht="15" hidden="false" customHeight="false" outlineLevel="0" collapsed="false">
      <c r="A98" s="11" t="s">
        <v>183</v>
      </c>
      <c r="B98" s="11" t="s">
        <v>55</v>
      </c>
      <c r="C98" s="11" t="s">
        <v>180</v>
      </c>
      <c r="D98" s="22" t="n">
        <v>45386</v>
      </c>
      <c r="E98" s="11" t="s">
        <v>186</v>
      </c>
      <c r="F98" s="23" t="n">
        <v>692.3538</v>
      </c>
      <c r="G98" s="24" t="n">
        <v>288.855</v>
      </c>
      <c r="H98" s="12" t="n">
        <v>199990</v>
      </c>
      <c r="I98" s="13" t="n">
        <f aca="false">-H98</f>
        <v>-199990</v>
      </c>
    </row>
    <row r="99" customFormat="false" ht="15" hidden="false" customHeight="false" outlineLevel="0" collapsed="false">
      <c r="A99" s="11" t="s">
        <v>183</v>
      </c>
      <c r="B99" s="11" t="s">
        <v>55</v>
      </c>
      <c r="C99" s="11" t="s">
        <v>180</v>
      </c>
      <c r="D99" s="22" t="n">
        <v>45414</v>
      </c>
      <c r="E99" s="11" t="s">
        <v>187</v>
      </c>
      <c r="F99" s="23" t="n">
        <v>721.6486</v>
      </c>
      <c r="G99" s="24" t="n">
        <v>277.129</v>
      </c>
      <c r="H99" s="12" t="n">
        <v>199990</v>
      </c>
      <c r="I99" s="13" t="n">
        <f aca="false">-H99</f>
        <v>-199990</v>
      </c>
    </row>
    <row r="100" customFormat="false" ht="15" hidden="false" customHeight="false" outlineLevel="0" collapsed="false">
      <c r="A100" s="11" t="s">
        <v>183</v>
      </c>
      <c r="B100" s="11" t="s">
        <v>55</v>
      </c>
      <c r="C100" s="11" t="s">
        <v>180</v>
      </c>
      <c r="D100" s="22" t="n">
        <v>45505</v>
      </c>
      <c r="E100" s="11" t="s">
        <v>188</v>
      </c>
      <c r="F100" s="23" t="n">
        <v>783.239</v>
      </c>
      <c r="G100" s="24" t="n">
        <v>-9.576</v>
      </c>
      <c r="H100" s="12" t="n">
        <v>-7500</v>
      </c>
      <c r="I100" s="13" t="n">
        <f aca="false">-H100</f>
        <v>7500</v>
      </c>
    </row>
    <row r="101" customFormat="false" ht="15" hidden="false" customHeight="false" outlineLevel="0" collapsed="false">
      <c r="A101" s="11" t="s">
        <v>183</v>
      </c>
      <c r="B101" s="11" t="s">
        <v>55</v>
      </c>
      <c r="C101" s="11" t="s">
        <v>180</v>
      </c>
      <c r="D101" s="22" t="n">
        <v>45554</v>
      </c>
      <c r="E101" s="11" t="s">
        <v>189</v>
      </c>
      <c r="F101" s="23" t="n">
        <v>763.7264</v>
      </c>
      <c r="G101" s="24" t="n">
        <v>261.861</v>
      </c>
      <c r="H101" s="12" t="n">
        <v>199990</v>
      </c>
      <c r="I101" s="13" t="n">
        <f aca="false">-H101</f>
        <v>-199990</v>
      </c>
    </row>
    <row r="102" customFormat="false" ht="15" hidden="false" customHeight="false" outlineLevel="0" collapsed="false">
      <c r="A102" s="11" t="s">
        <v>183</v>
      </c>
      <c r="B102" s="11" t="s">
        <v>55</v>
      </c>
      <c r="C102" s="11" t="s">
        <v>180</v>
      </c>
      <c r="D102" s="22" t="n">
        <v>45789</v>
      </c>
      <c r="E102" s="11" t="s">
        <v>190</v>
      </c>
      <c r="F102" s="23" t="n">
        <v>660.9875</v>
      </c>
      <c r="G102" s="24" t="n">
        <v>-1549.009</v>
      </c>
      <c r="H102" s="12" t="n">
        <v>-1023865.35</v>
      </c>
      <c r="I102" s="13" t="n">
        <f aca="false">-H102</f>
        <v>1023865.35</v>
      </c>
    </row>
    <row r="103" customFormat="false" ht="15" hidden="false" customHeight="false" outlineLevel="0" collapsed="false">
      <c r="A103" s="11" t="s">
        <v>183</v>
      </c>
      <c r="B103" s="11" t="s">
        <v>55</v>
      </c>
      <c r="C103" s="11" t="s">
        <v>180</v>
      </c>
      <c r="D103" s="22" t="n">
        <v>45811</v>
      </c>
      <c r="E103" s="11" t="s">
        <v>191</v>
      </c>
      <c r="F103" s="23" t="n">
        <v>674.9799</v>
      </c>
      <c r="G103" s="24" t="n">
        <v>296.29</v>
      </c>
      <c r="H103" s="12" t="n">
        <v>199990</v>
      </c>
      <c r="I103" s="13" t="n">
        <f aca="false">-H103</f>
        <v>-199990</v>
      </c>
    </row>
    <row r="104" customFormat="false" ht="15" hidden="false" customHeight="false" outlineLevel="0" collapsed="false">
      <c r="A104" s="11" t="s">
        <v>183</v>
      </c>
      <c r="B104" s="11" t="s">
        <v>55</v>
      </c>
      <c r="C104" s="11" t="s">
        <v>180</v>
      </c>
      <c r="D104" s="22" t="n">
        <v>46059</v>
      </c>
      <c r="E104" s="11" t="s">
        <v>190</v>
      </c>
      <c r="F104" s="23" t="n">
        <v>647.5358</v>
      </c>
      <c r="G104" s="24" t="n">
        <v>-296.29</v>
      </c>
      <c r="H104" s="12" t="n">
        <v>-191856.46</v>
      </c>
      <c r="I104" s="13" t="n">
        <f aca="false">-H104</f>
        <v>191856.46</v>
      </c>
    </row>
    <row r="106" customFormat="false" ht="15" hidden="false" customHeight="false" outlineLevel="0" collapsed="false">
      <c r="A106" s="2" t="s">
        <v>192</v>
      </c>
      <c r="B106" s="2"/>
      <c r="C106" s="2"/>
      <c r="D106" s="2"/>
      <c r="E106" s="2"/>
      <c r="F106" s="2"/>
      <c r="G106" s="2"/>
      <c r="H106" s="2"/>
      <c r="I106" s="2"/>
    </row>
    <row r="107" customFormat="false" ht="15" hidden="false" customHeight="false" outlineLevel="0" collapsed="false">
      <c r="A107" s="32" t="s">
        <v>97</v>
      </c>
      <c r="B107" s="32" t="s">
        <v>193</v>
      </c>
      <c r="C107" s="32" t="s">
        <v>194</v>
      </c>
    </row>
    <row r="108" customFormat="false" ht="15" hidden="false" customHeight="false" outlineLevel="0" collapsed="false">
      <c r="A108" s="22" t="n">
        <f aca="false">D9</f>
        <v>45139</v>
      </c>
      <c r="B108" s="13" t="n">
        <f aca="false">I9</f>
        <v>-24998.75</v>
      </c>
      <c r="C108" s="33" t="s">
        <v>195</v>
      </c>
    </row>
    <row r="109" customFormat="false" ht="15" hidden="false" customHeight="false" outlineLevel="0" collapsed="false">
      <c r="A109" s="22" t="n">
        <f aca="false">D10</f>
        <v>45168</v>
      </c>
      <c r="B109" s="13" t="n">
        <f aca="false">I10</f>
        <v>-24998.75</v>
      </c>
      <c r="C109" s="33" t="s">
        <v>196</v>
      </c>
    </row>
    <row r="110" customFormat="false" ht="15" hidden="false" customHeight="false" outlineLevel="0" collapsed="false">
      <c r="A110" s="22" t="n">
        <f aca="false">D11</f>
        <v>45202</v>
      </c>
      <c r="B110" s="13" t="n">
        <f aca="false">I11</f>
        <v>-24998.75</v>
      </c>
      <c r="C110" s="33" t="s">
        <v>197</v>
      </c>
    </row>
    <row r="111" customFormat="false" ht="15" hidden="false" customHeight="false" outlineLevel="0" collapsed="false">
      <c r="A111" s="22" t="n">
        <f aca="false">D12</f>
        <v>45230</v>
      </c>
      <c r="B111" s="13" t="n">
        <f aca="false">I12</f>
        <v>-24998.75</v>
      </c>
      <c r="C111" s="33" t="s">
        <v>198</v>
      </c>
    </row>
    <row r="112" customFormat="false" ht="15" hidden="false" customHeight="false" outlineLevel="0" collapsed="false">
      <c r="A112" s="22" t="n">
        <f aca="false">D13</f>
        <v>45260</v>
      </c>
      <c r="B112" s="13" t="n">
        <f aca="false">I13</f>
        <v>-24998.75</v>
      </c>
      <c r="C112" s="33" t="s">
        <v>199</v>
      </c>
    </row>
    <row r="113" customFormat="false" ht="15" hidden="false" customHeight="false" outlineLevel="0" collapsed="false">
      <c r="A113" s="22" t="n">
        <f aca="false">D5</f>
        <v>45287</v>
      </c>
      <c r="B113" s="13" t="n">
        <f aca="false">I5</f>
        <v>-199990</v>
      </c>
      <c r="C113" s="33" t="s">
        <v>200</v>
      </c>
    </row>
    <row r="114" customFormat="false" ht="15" hidden="false" customHeight="false" outlineLevel="0" collapsed="false">
      <c r="A114" s="22" t="n">
        <f aca="false">D75</f>
        <v>45287</v>
      </c>
      <c r="B114" s="13" t="n">
        <f aca="false">I75</f>
        <v>-199990</v>
      </c>
      <c r="C114" s="33" t="s">
        <v>201</v>
      </c>
    </row>
    <row r="115" customFormat="false" ht="15" hidden="false" customHeight="false" outlineLevel="0" collapsed="false">
      <c r="A115" s="22" t="n">
        <f aca="false">D14</f>
        <v>45292</v>
      </c>
      <c r="B115" s="13" t="n">
        <f aca="false">I14</f>
        <v>-24998.75</v>
      </c>
      <c r="C115" s="33" t="s">
        <v>202</v>
      </c>
    </row>
    <row r="116" customFormat="false" ht="15" hidden="false" customHeight="false" outlineLevel="0" collapsed="false">
      <c r="A116" s="22" t="n">
        <f aca="false">D55</f>
        <v>45293</v>
      </c>
      <c r="B116" s="13" t="n">
        <f aca="false">I55</f>
        <v>-199990</v>
      </c>
      <c r="C116" s="33" t="s">
        <v>203</v>
      </c>
    </row>
    <row r="117" customFormat="false" ht="15" hidden="false" customHeight="false" outlineLevel="0" collapsed="false">
      <c r="A117" s="22" t="n">
        <f aca="false">D64</f>
        <v>45293</v>
      </c>
      <c r="B117" s="13" t="n">
        <f aca="false">I64</f>
        <v>-199990</v>
      </c>
      <c r="C117" s="33" t="s">
        <v>204</v>
      </c>
    </row>
    <row r="118" customFormat="false" ht="15" hidden="false" customHeight="false" outlineLevel="0" collapsed="false">
      <c r="A118" s="22" t="n">
        <f aca="false">D15</f>
        <v>45321</v>
      </c>
      <c r="B118" s="13" t="n">
        <f aca="false">I15</f>
        <v>-24998.75</v>
      </c>
      <c r="C118" s="33" t="s">
        <v>205</v>
      </c>
    </row>
    <row r="119" customFormat="false" ht="15" hidden="false" customHeight="false" outlineLevel="0" collapsed="false">
      <c r="A119" s="22" t="n">
        <f aca="false">D16</f>
        <v>45352</v>
      </c>
      <c r="B119" s="13" t="n">
        <f aca="false">I16</f>
        <v>-24998.75</v>
      </c>
      <c r="C119" s="33" t="s">
        <v>206</v>
      </c>
    </row>
    <row r="120" customFormat="false" ht="15" hidden="false" customHeight="false" outlineLevel="0" collapsed="false">
      <c r="A120" s="22" t="n">
        <f aca="false">D17</f>
        <v>45384</v>
      </c>
      <c r="B120" s="13" t="n">
        <f aca="false">I17</f>
        <v>-24998.75</v>
      </c>
      <c r="C120" s="33" t="s">
        <v>207</v>
      </c>
    </row>
    <row r="121" customFormat="false" ht="15" hidden="false" customHeight="false" outlineLevel="0" collapsed="false">
      <c r="A121" s="22" t="n">
        <f aca="false">D58</f>
        <v>45394</v>
      </c>
      <c r="B121" s="13" t="n">
        <f aca="false">I58</f>
        <v>-199990</v>
      </c>
      <c r="C121" s="33" t="s">
        <v>208</v>
      </c>
    </row>
    <row r="122" customFormat="false" ht="15" hidden="false" customHeight="false" outlineLevel="0" collapsed="false">
      <c r="A122" s="22" t="n">
        <f aca="false">D18</f>
        <v>45412</v>
      </c>
      <c r="B122" s="13" t="n">
        <f aca="false">I18</f>
        <v>-24998.75</v>
      </c>
      <c r="C122" s="33" t="s">
        <v>209</v>
      </c>
    </row>
    <row r="123" customFormat="false" ht="15" hidden="false" customHeight="false" outlineLevel="0" collapsed="false">
      <c r="A123" s="22" t="n">
        <f aca="false">D6</f>
        <v>45414</v>
      </c>
      <c r="B123" s="13" t="n">
        <f aca="false">I6</f>
        <v>-199990</v>
      </c>
      <c r="C123" s="33" t="s">
        <v>210</v>
      </c>
    </row>
    <row r="124" customFormat="false" ht="15" hidden="false" customHeight="false" outlineLevel="0" collapsed="false">
      <c r="A124" s="22" t="n">
        <f aca="false">D19</f>
        <v>45442</v>
      </c>
      <c r="B124" s="13" t="n">
        <f aca="false">I19</f>
        <v>-24998.75</v>
      </c>
      <c r="C124" s="33" t="s">
        <v>211</v>
      </c>
    </row>
    <row r="125" customFormat="false" ht="15" hidden="false" customHeight="false" outlineLevel="0" collapsed="false">
      <c r="A125" s="22" t="n">
        <f aca="false">D20</f>
        <v>45474</v>
      </c>
      <c r="B125" s="13" t="n">
        <f aca="false">I20</f>
        <v>-24998.75</v>
      </c>
      <c r="C125" s="33" t="s">
        <v>212</v>
      </c>
    </row>
    <row r="126" customFormat="false" ht="15" hidden="false" customHeight="false" outlineLevel="0" collapsed="false">
      <c r="A126" s="22" t="n">
        <f aca="false">D76</f>
        <v>45485</v>
      </c>
      <c r="B126" s="13" t="n">
        <f aca="false">I76</f>
        <v>-199990</v>
      </c>
      <c r="C126" s="33" t="s">
        <v>213</v>
      </c>
    </row>
    <row r="127" customFormat="false" ht="15" hidden="false" customHeight="false" outlineLevel="0" collapsed="false">
      <c r="A127" s="22" t="n">
        <f aca="false">D21</f>
        <v>45503</v>
      </c>
      <c r="B127" s="13" t="n">
        <f aca="false">I21</f>
        <v>-24998.75</v>
      </c>
      <c r="C127" s="33" t="s">
        <v>214</v>
      </c>
    </row>
    <row r="128" customFormat="false" ht="15" hidden="false" customHeight="false" outlineLevel="0" collapsed="false">
      <c r="A128" s="22" t="n">
        <f aca="false">D22</f>
        <v>45534</v>
      </c>
      <c r="B128" s="13" t="n">
        <f aca="false">I22</f>
        <v>-24998.75</v>
      </c>
      <c r="C128" s="33" t="s">
        <v>215</v>
      </c>
    </row>
    <row r="129" customFormat="false" ht="15" hidden="false" customHeight="false" outlineLevel="0" collapsed="false">
      <c r="A129" s="22" t="n">
        <f aca="false">D23</f>
        <v>45566</v>
      </c>
      <c r="B129" s="13" t="n">
        <f aca="false">I23</f>
        <v>-24998.75</v>
      </c>
      <c r="C129" s="33" t="s">
        <v>216</v>
      </c>
    </row>
    <row r="130" customFormat="false" ht="15" hidden="false" customHeight="false" outlineLevel="0" collapsed="false">
      <c r="A130" s="22" t="n">
        <f aca="false">D24</f>
        <v>45595</v>
      </c>
      <c r="B130" s="13" t="n">
        <f aca="false">I24</f>
        <v>-24998.75</v>
      </c>
      <c r="C130" s="33" t="s">
        <v>217</v>
      </c>
    </row>
    <row r="131" customFormat="false" ht="15" hidden="false" customHeight="false" outlineLevel="0" collapsed="false">
      <c r="A131" s="22" t="n">
        <f aca="false">D25</f>
        <v>45628</v>
      </c>
      <c r="B131" s="13" t="n">
        <f aca="false">I25</f>
        <v>-24998.75</v>
      </c>
      <c r="C131" s="33" t="s">
        <v>218</v>
      </c>
    </row>
    <row r="132" customFormat="false" ht="15" hidden="false" customHeight="false" outlineLevel="0" collapsed="false">
      <c r="A132" s="22" t="n">
        <f aca="false">D26</f>
        <v>45657</v>
      </c>
      <c r="B132" s="13" t="n">
        <f aca="false">I26</f>
        <v>-24998.75</v>
      </c>
      <c r="C132" s="33" t="s">
        <v>219</v>
      </c>
    </row>
    <row r="133" customFormat="false" ht="15" hidden="false" customHeight="false" outlineLevel="0" collapsed="false">
      <c r="A133" s="22" t="n">
        <f aca="false">D56</f>
        <v>45657</v>
      </c>
      <c r="B133" s="13" t="n">
        <f aca="false">I56</f>
        <v>-199990</v>
      </c>
      <c r="C133" s="33" t="s">
        <v>220</v>
      </c>
    </row>
    <row r="134" customFormat="false" ht="15" hidden="false" customHeight="false" outlineLevel="0" collapsed="false">
      <c r="A134" s="22" t="n">
        <f aca="false">D65</f>
        <v>45681</v>
      </c>
      <c r="B134" s="13" t="n">
        <f aca="false">I65</f>
        <v>-199990</v>
      </c>
      <c r="C134" s="33" t="s">
        <v>221</v>
      </c>
    </row>
    <row r="135" customFormat="false" ht="15" hidden="false" customHeight="false" outlineLevel="0" collapsed="false">
      <c r="A135" s="22" t="n">
        <f aca="false">D27</f>
        <v>45687</v>
      </c>
      <c r="B135" s="13" t="n">
        <f aca="false">I27</f>
        <v>-24998.75</v>
      </c>
      <c r="C135" s="33" t="s">
        <v>222</v>
      </c>
    </row>
    <row r="136" customFormat="false" ht="15" hidden="false" customHeight="false" outlineLevel="0" collapsed="false">
      <c r="A136" s="22" t="n">
        <f aca="false">D7</f>
        <v>45688</v>
      </c>
      <c r="B136" s="13" t="n">
        <f aca="false">I7</f>
        <v>-199990</v>
      </c>
      <c r="C136" s="33" t="s">
        <v>223</v>
      </c>
    </row>
    <row r="137" customFormat="false" ht="15" hidden="false" customHeight="false" outlineLevel="0" collapsed="false">
      <c r="A137" s="22" t="n">
        <f aca="false">D28</f>
        <v>45719</v>
      </c>
      <c r="B137" s="13" t="n">
        <f aca="false">I28</f>
        <v>-24998.75</v>
      </c>
      <c r="C137" s="33" t="s">
        <v>224</v>
      </c>
    </row>
    <row r="138" customFormat="false" ht="15" hidden="false" customHeight="false" outlineLevel="0" collapsed="false">
      <c r="A138" s="22" t="n">
        <f aca="false">D66</f>
        <v>45720</v>
      </c>
      <c r="B138" s="13" t="n">
        <f aca="false">I66</f>
        <v>-199990</v>
      </c>
      <c r="C138" s="33" t="s">
        <v>225</v>
      </c>
    </row>
    <row r="139" customFormat="false" ht="15" hidden="false" customHeight="false" outlineLevel="0" collapsed="false">
      <c r="A139" s="22" t="n">
        <f aca="false">D29</f>
        <v>45748</v>
      </c>
      <c r="B139" s="13" t="n">
        <f aca="false">I29</f>
        <v>-24998.75</v>
      </c>
      <c r="C139" s="33" t="s">
        <v>226</v>
      </c>
    </row>
    <row r="140" customFormat="false" ht="15" hidden="false" customHeight="false" outlineLevel="0" collapsed="false">
      <c r="A140" s="22" t="n">
        <f aca="false">D30</f>
        <v>45777</v>
      </c>
      <c r="B140" s="13" t="n">
        <f aca="false">I30</f>
        <v>-24998.75</v>
      </c>
      <c r="C140" s="33" t="s">
        <v>227</v>
      </c>
    </row>
    <row r="141" customFormat="false" ht="15" hidden="false" customHeight="false" outlineLevel="0" collapsed="false">
      <c r="A141" s="22" t="n">
        <f aca="false">D77</f>
        <v>45783</v>
      </c>
      <c r="B141" s="13" t="n">
        <f aca="false">I77</f>
        <v>-99995</v>
      </c>
      <c r="C141" s="33" t="s">
        <v>228</v>
      </c>
    </row>
    <row r="142" customFormat="false" ht="15" hidden="false" customHeight="false" outlineLevel="0" collapsed="false">
      <c r="A142" s="22" t="n">
        <f aca="false">D49</f>
        <v>45789</v>
      </c>
      <c r="B142" s="13" t="n">
        <f aca="false">I49</f>
        <v>-199990</v>
      </c>
      <c r="C142" s="33" t="s">
        <v>229</v>
      </c>
    </row>
    <row r="143" customFormat="false" ht="15" hidden="false" customHeight="false" outlineLevel="0" collapsed="false">
      <c r="A143" s="22" t="n">
        <f aca="false">D67</f>
        <v>45789</v>
      </c>
      <c r="B143" s="13" t="n">
        <f aca="false">I67</f>
        <v>-199990</v>
      </c>
      <c r="C143" s="33" t="s">
        <v>230</v>
      </c>
    </row>
    <row r="144" customFormat="false" ht="15" hidden="false" customHeight="false" outlineLevel="0" collapsed="false">
      <c r="A144" s="22" t="n">
        <f aca="false">D50</f>
        <v>45798</v>
      </c>
      <c r="B144" s="13" t="n">
        <f aca="false">I50</f>
        <v>-199990</v>
      </c>
      <c r="C144" s="33" t="s">
        <v>231</v>
      </c>
    </row>
    <row r="145" customFormat="false" ht="15" hidden="false" customHeight="false" outlineLevel="0" collapsed="false">
      <c r="A145" s="22" t="n">
        <f aca="false">D51</f>
        <v>45799</v>
      </c>
      <c r="B145" s="13" t="n">
        <f aca="false">I51</f>
        <v>-199990</v>
      </c>
      <c r="C145" s="33" t="s">
        <v>232</v>
      </c>
    </row>
    <row r="146" customFormat="false" ht="15" hidden="false" customHeight="false" outlineLevel="0" collapsed="false">
      <c r="A146" s="22" t="n">
        <f aca="false">D68</f>
        <v>45799</v>
      </c>
      <c r="B146" s="13" t="n">
        <f aca="false">I68</f>
        <v>-199990</v>
      </c>
      <c r="C146" s="33" t="s">
        <v>233</v>
      </c>
    </row>
    <row r="147" customFormat="false" ht="15" hidden="false" customHeight="false" outlineLevel="0" collapsed="false">
      <c r="A147" s="22" t="n">
        <f aca="false">D52</f>
        <v>45806</v>
      </c>
      <c r="B147" s="13" t="n">
        <f aca="false">I52</f>
        <v>-199990</v>
      </c>
      <c r="C147" s="33" t="s">
        <v>234</v>
      </c>
    </row>
    <row r="148" customFormat="false" ht="15" hidden="false" customHeight="false" outlineLevel="0" collapsed="false">
      <c r="A148" s="22" t="n">
        <f aca="false">D69</f>
        <v>45806</v>
      </c>
      <c r="B148" s="13" t="n">
        <f aca="false">I69</f>
        <v>-199990</v>
      </c>
      <c r="C148" s="33" t="s">
        <v>235</v>
      </c>
    </row>
    <row r="149" customFormat="false" ht="15" hidden="false" customHeight="false" outlineLevel="0" collapsed="false">
      <c r="A149" s="22" t="n">
        <f aca="false">D31</f>
        <v>45807</v>
      </c>
      <c r="B149" s="13" t="n">
        <f aca="false">I31</f>
        <v>-24998.75</v>
      </c>
      <c r="C149" s="33" t="s">
        <v>236</v>
      </c>
    </row>
    <row r="150" customFormat="false" ht="15" hidden="false" customHeight="false" outlineLevel="0" collapsed="false">
      <c r="A150" s="22" t="n">
        <f aca="false">D32</f>
        <v>45811</v>
      </c>
      <c r="B150" s="13" t="n">
        <f aca="false">I32</f>
        <v>-199990</v>
      </c>
      <c r="C150" s="33" t="s">
        <v>237</v>
      </c>
    </row>
    <row r="151" customFormat="false" ht="15" hidden="false" customHeight="false" outlineLevel="0" collapsed="false">
      <c r="A151" s="22" t="n">
        <f aca="false">D53</f>
        <v>45818</v>
      </c>
      <c r="B151" s="13" t="n">
        <f aca="false">I53</f>
        <v>-199990</v>
      </c>
      <c r="C151" s="33" t="s">
        <v>238</v>
      </c>
    </row>
    <row r="152" customFormat="false" ht="15" hidden="false" customHeight="false" outlineLevel="0" collapsed="false">
      <c r="A152" s="22" t="n">
        <f aca="false">D70</f>
        <v>45818</v>
      </c>
      <c r="B152" s="13" t="n">
        <f aca="false">I70</f>
        <v>-199990</v>
      </c>
      <c r="C152" s="33" t="s">
        <v>239</v>
      </c>
    </row>
    <row r="153" customFormat="false" ht="15" hidden="false" customHeight="false" outlineLevel="0" collapsed="false">
      <c r="A153" s="22" t="n">
        <f aca="false">D78</f>
        <v>45818</v>
      </c>
      <c r="B153" s="13" t="n">
        <f aca="false">I78</f>
        <v>-199990</v>
      </c>
      <c r="C153" s="33" t="s">
        <v>240</v>
      </c>
    </row>
    <row r="154" customFormat="false" ht="15" hidden="false" customHeight="false" outlineLevel="0" collapsed="false">
      <c r="A154" s="22" t="n">
        <f aca="false">D33</f>
        <v>45839</v>
      </c>
      <c r="B154" s="13" t="n">
        <f aca="false">I33</f>
        <v>-24998.75</v>
      </c>
      <c r="C154" s="33" t="s">
        <v>241</v>
      </c>
    </row>
    <row r="155" customFormat="false" ht="15" hidden="false" customHeight="false" outlineLevel="0" collapsed="false">
      <c r="A155" s="22" t="n">
        <f aca="false">D71</f>
        <v>45847</v>
      </c>
      <c r="B155" s="13" t="n">
        <f aca="false">I71</f>
        <v>-199990</v>
      </c>
      <c r="C155" s="33" t="s">
        <v>242</v>
      </c>
    </row>
    <row r="156" customFormat="false" ht="15" hidden="false" customHeight="false" outlineLevel="0" collapsed="false">
      <c r="A156" s="22" t="n">
        <f aca="false">D34</f>
        <v>45856</v>
      </c>
      <c r="B156" s="13" t="n">
        <f aca="false">I34</f>
        <v>-199990</v>
      </c>
      <c r="C156" s="33" t="s">
        <v>243</v>
      </c>
    </row>
    <row r="157" customFormat="false" ht="15" hidden="false" customHeight="false" outlineLevel="0" collapsed="false">
      <c r="A157" s="22" t="n">
        <f aca="false">D79</f>
        <v>45863</v>
      </c>
      <c r="B157" s="13" t="n">
        <f aca="false">I79</f>
        <v>-199990</v>
      </c>
      <c r="C157" s="33" t="s">
        <v>244</v>
      </c>
    </row>
    <row r="158" customFormat="false" ht="15" hidden="false" customHeight="false" outlineLevel="0" collapsed="false">
      <c r="A158" s="22" t="n">
        <f aca="false">D35</f>
        <v>45868</v>
      </c>
      <c r="B158" s="13" t="n">
        <f aca="false">I35</f>
        <v>-24998.75</v>
      </c>
      <c r="C158" s="33" t="s">
        <v>245</v>
      </c>
    </row>
    <row r="159" customFormat="false" ht="15" hidden="false" customHeight="false" outlineLevel="0" collapsed="false">
      <c r="A159" s="22" t="n">
        <f aca="false">D80</f>
        <v>45881</v>
      </c>
      <c r="B159" s="13" t="n">
        <f aca="false">I80</f>
        <v>-199990</v>
      </c>
      <c r="C159" s="33" t="s">
        <v>246</v>
      </c>
    </row>
    <row r="160" customFormat="false" ht="15" hidden="false" customHeight="false" outlineLevel="0" collapsed="false">
      <c r="A160" s="22" t="n">
        <f aca="false">D36</f>
        <v>45901</v>
      </c>
      <c r="B160" s="13" t="n">
        <f aca="false">I36</f>
        <v>-24998.75</v>
      </c>
      <c r="C160" s="33" t="s">
        <v>247</v>
      </c>
    </row>
    <row r="161" customFormat="false" ht="15" hidden="false" customHeight="false" outlineLevel="0" collapsed="false">
      <c r="A161" s="22" t="n">
        <f aca="false">D81</f>
        <v>45925</v>
      </c>
      <c r="B161" s="13" t="n">
        <f aca="false">I81</f>
        <v>-199990</v>
      </c>
      <c r="C161" s="33" t="s">
        <v>248</v>
      </c>
    </row>
    <row r="162" customFormat="false" ht="15" hidden="false" customHeight="false" outlineLevel="0" collapsed="false">
      <c r="A162" s="22" t="n">
        <f aca="false">D37</f>
        <v>45930</v>
      </c>
      <c r="B162" s="13" t="n">
        <f aca="false">I37</f>
        <v>-24998.75</v>
      </c>
      <c r="C162" s="33" t="s">
        <v>249</v>
      </c>
    </row>
    <row r="163" customFormat="false" ht="15" hidden="false" customHeight="false" outlineLevel="0" collapsed="false">
      <c r="A163" s="22" t="n">
        <f aca="false">D72</f>
        <v>45931</v>
      </c>
      <c r="B163" s="13" t="n">
        <f aca="false">I72</f>
        <v>-199990</v>
      </c>
      <c r="C163" s="33" t="s">
        <v>250</v>
      </c>
    </row>
    <row r="164" customFormat="false" ht="15" hidden="false" customHeight="false" outlineLevel="0" collapsed="false">
      <c r="A164" s="22" t="n">
        <f aca="false">D38</f>
        <v>45960</v>
      </c>
      <c r="B164" s="13" t="n">
        <f aca="false">I38</f>
        <v>-24998.75</v>
      </c>
      <c r="C164" s="33" t="s">
        <v>251</v>
      </c>
    </row>
    <row r="165" customFormat="false" ht="15" hidden="false" customHeight="false" outlineLevel="0" collapsed="false">
      <c r="A165" s="22" t="n">
        <f aca="false">D82</f>
        <v>45973</v>
      </c>
      <c r="B165" s="13" t="n">
        <f aca="false">I82</f>
        <v>-199990</v>
      </c>
      <c r="C165" s="33" t="s">
        <v>252</v>
      </c>
    </row>
    <row r="166" customFormat="false" ht="15" hidden="false" customHeight="false" outlineLevel="0" collapsed="false">
      <c r="A166" s="22" t="n">
        <f aca="false">D39</f>
        <v>45992</v>
      </c>
      <c r="B166" s="13" t="n">
        <f aca="false">I39</f>
        <v>-24998.75</v>
      </c>
      <c r="C166" s="33" t="s">
        <v>253</v>
      </c>
    </row>
    <row r="167" customFormat="false" ht="15" hidden="false" customHeight="false" outlineLevel="0" collapsed="false">
      <c r="A167" s="22" t="n">
        <f aca="false">D83</f>
        <v>46003</v>
      </c>
      <c r="B167" s="13" t="n">
        <f aca="false">I83</f>
        <v>-199990</v>
      </c>
      <c r="C167" s="33" t="s">
        <v>254</v>
      </c>
    </row>
    <row r="168" customFormat="false" ht="15" hidden="false" customHeight="false" outlineLevel="0" collapsed="false">
      <c r="A168" s="22" t="n">
        <f aca="false">D40</f>
        <v>46021</v>
      </c>
      <c r="B168" s="13" t="n">
        <f aca="false">I40</f>
        <v>-24998.75</v>
      </c>
      <c r="C168" s="33" t="s">
        <v>255</v>
      </c>
    </row>
    <row r="169" customFormat="false" ht="15" hidden="false" customHeight="false" outlineLevel="0" collapsed="false">
      <c r="A169" s="22" t="n">
        <f aca="false">D59</f>
        <v>46022</v>
      </c>
      <c r="B169" s="13" t="n">
        <f aca="false">I59</f>
        <v>-199990</v>
      </c>
      <c r="C169" s="33" t="s">
        <v>256</v>
      </c>
    </row>
    <row r="170" customFormat="false" ht="15" hidden="false" customHeight="false" outlineLevel="0" collapsed="false">
      <c r="A170" s="22" t="n">
        <f aca="false">D73</f>
        <v>46022</v>
      </c>
      <c r="B170" s="13" t="n">
        <f aca="false">I73</f>
        <v>-199990</v>
      </c>
      <c r="C170" s="33" t="s">
        <v>257</v>
      </c>
    </row>
    <row r="171" customFormat="false" ht="15" hidden="false" customHeight="false" outlineLevel="0" collapsed="false">
      <c r="A171" s="22" t="n">
        <f aca="false">D41</f>
        <v>46052</v>
      </c>
      <c r="B171" s="13" t="n">
        <f aca="false">I41</f>
        <v>-24998.75</v>
      </c>
      <c r="C171" s="33" t="s">
        <v>258</v>
      </c>
    </row>
    <row r="172" customFormat="false" ht="15" hidden="false" customHeight="false" outlineLevel="0" collapsed="false">
      <c r="A172" s="22" t="n">
        <f aca="false">D84</f>
        <v>46069</v>
      </c>
      <c r="B172" s="13" t="n">
        <f aca="false">I84</f>
        <v>-199990</v>
      </c>
      <c r="C172" s="33" t="s">
        <v>259</v>
      </c>
    </row>
    <row r="173" customFormat="false" ht="15" hidden="false" customHeight="false" outlineLevel="0" collapsed="false">
      <c r="A173" s="22" t="n">
        <f aca="false">D85</f>
        <v>46076</v>
      </c>
      <c r="B173" s="13" t="n">
        <f aca="false">I85</f>
        <v>-199990</v>
      </c>
      <c r="C173" s="33" t="s">
        <v>260</v>
      </c>
    </row>
    <row r="174" customFormat="false" ht="15" hidden="false" customHeight="false" outlineLevel="0" collapsed="false">
      <c r="A174" s="22" t="n">
        <f aca="false">D42</f>
        <v>46085</v>
      </c>
      <c r="B174" s="13" t="n">
        <f aca="false">I42</f>
        <v>-24998.75</v>
      </c>
      <c r="C174" s="33" t="s">
        <v>261</v>
      </c>
    </row>
    <row r="175" customFormat="false" ht="15" hidden="false" customHeight="false" outlineLevel="0" collapsed="false">
      <c r="A175" s="22" t="n">
        <f aca="false">D60</f>
        <v>46113</v>
      </c>
      <c r="B175" s="13" t="n">
        <f aca="false">I60</f>
        <v>-199990</v>
      </c>
      <c r="C175" s="33" t="s">
        <v>262</v>
      </c>
    </row>
    <row r="176" customFormat="false" ht="15" hidden="false" customHeight="false" outlineLevel="0" collapsed="false">
      <c r="A176" s="22" t="n">
        <f aca="false">D61</f>
        <v>46113</v>
      </c>
      <c r="B176" s="13" t="n">
        <f aca="false">I61</f>
        <v>-199990</v>
      </c>
      <c r="C176" s="33" t="s">
        <v>263</v>
      </c>
    </row>
    <row r="177" customFormat="false" ht="15" hidden="false" customHeight="false" outlineLevel="0" collapsed="false">
      <c r="A177" s="22" t="n">
        <f aca="false">D86</f>
        <v>46113</v>
      </c>
      <c r="B177" s="13" t="n">
        <f aca="false">I86</f>
        <v>-199990</v>
      </c>
      <c r="C177" s="33" t="s">
        <v>264</v>
      </c>
    </row>
    <row r="178" customFormat="false" ht="15" hidden="false" customHeight="false" outlineLevel="0" collapsed="false">
      <c r="A178" s="22" t="n">
        <f aca="false">D43</f>
        <v>46114</v>
      </c>
      <c r="B178" s="13" t="n">
        <f aca="false">I43</f>
        <v>-24998.75</v>
      </c>
      <c r="C178" s="33" t="s">
        <v>265</v>
      </c>
    </row>
    <row r="179" customFormat="false" ht="15" hidden="false" customHeight="false" outlineLevel="0" collapsed="false">
      <c r="A179" s="22" t="n">
        <f aca="false">D44</f>
        <v>46142</v>
      </c>
      <c r="B179" s="13" t="n">
        <f aca="false">I44</f>
        <v>-24998.75</v>
      </c>
      <c r="C179" s="33" t="s">
        <v>266</v>
      </c>
    </row>
    <row r="180" customFormat="false" ht="15" hidden="false" customHeight="false" outlineLevel="0" collapsed="false">
      <c r="A180" s="22" t="n">
        <f aca="false">D62</f>
        <v>46148</v>
      </c>
      <c r="B180" s="13" t="n">
        <f aca="false">I62</f>
        <v>-199990</v>
      </c>
      <c r="C180" s="33" t="s">
        <v>267</v>
      </c>
    </row>
    <row r="181" customFormat="false" ht="15" hidden="false" customHeight="false" outlineLevel="0" collapsed="false">
      <c r="A181" s="22" t="n">
        <f aca="false">D45</f>
        <v>46174</v>
      </c>
      <c r="B181" s="13" t="n">
        <f aca="false">I45</f>
        <v>-24998.75</v>
      </c>
      <c r="C181" s="33" t="s">
        <v>268</v>
      </c>
    </row>
    <row r="182" customFormat="false" ht="15" hidden="false" customHeight="false" outlineLevel="0" collapsed="false">
      <c r="A182" s="22" t="n">
        <f aca="false">D46</f>
        <v>46203</v>
      </c>
      <c r="B182" s="13" t="n">
        <f aca="false">I46</f>
        <v>-24998.75</v>
      </c>
      <c r="C182" s="33" t="s">
        <v>269</v>
      </c>
    </row>
    <row r="183" customFormat="false" ht="15" hidden="false" customHeight="false" outlineLevel="0" collapsed="false">
      <c r="A183" s="22" t="n">
        <f aca="false">D47</f>
        <v>46233</v>
      </c>
      <c r="B183" s="13" t="n">
        <f aca="false">I47</f>
        <v>-24998.75</v>
      </c>
      <c r="C183" s="33" t="s">
        <v>270</v>
      </c>
    </row>
    <row r="184" customFormat="false" ht="15" hidden="false" customHeight="false" outlineLevel="0" collapsed="false">
      <c r="A184" s="22" t="n">
        <f aca="false">D8</f>
        <v>46235</v>
      </c>
      <c r="B184" s="13" t="n">
        <f aca="false">I8</f>
        <v>1292792.66</v>
      </c>
      <c r="C184" s="33" t="s">
        <v>271</v>
      </c>
    </row>
    <row r="185" customFormat="false" ht="15" hidden="false" customHeight="false" outlineLevel="0" collapsed="false">
      <c r="A185" s="22" t="n">
        <f aca="false">D48</f>
        <v>46235</v>
      </c>
      <c r="B185" s="13" t="n">
        <f aca="false">I48</f>
        <v>1591496.63</v>
      </c>
      <c r="C185" s="33" t="s">
        <v>272</v>
      </c>
    </row>
    <row r="186" customFormat="false" ht="15" hidden="false" customHeight="false" outlineLevel="0" collapsed="false">
      <c r="A186" s="22" t="n">
        <f aca="false">D54</f>
        <v>46235</v>
      </c>
      <c r="B186" s="13" t="n">
        <f aca="false">I54</f>
        <v>1021047.9</v>
      </c>
      <c r="C186" s="33" t="s">
        <v>273</v>
      </c>
    </row>
    <row r="187" customFormat="false" ht="15" hidden="false" customHeight="false" outlineLevel="0" collapsed="false">
      <c r="A187" s="22" t="n">
        <f aca="false">D57</f>
        <v>46235</v>
      </c>
      <c r="B187" s="13" t="n">
        <f aca="false">I57</f>
        <v>461915.1</v>
      </c>
      <c r="C187" s="33" t="s">
        <v>274</v>
      </c>
    </row>
    <row r="188" customFormat="false" ht="15" hidden="false" customHeight="false" outlineLevel="0" collapsed="false">
      <c r="A188" s="22" t="n">
        <f aca="false">D63</f>
        <v>46235</v>
      </c>
      <c r="B188" s="13" t="n">
        <f aca="false">I63</f>
        <v>1130434.8</v>
      </c>
      <c r="C188" s="33" t="s">
        <v>275</v>
      </c>
    </row>
    <row r="189" customFormat="false" ht="15" hidden="false" customHeight="false" outlineLevel="0" collapsed="false">
      <c r="A189" s="22" t="n">
        <f aca="false">D74</f>
        <v>46235</v>
      </c>
      <c r="B189" s="13" t="n">
        <f aca="false">I74</f>
        <v>2123818.21</v>
      </c>
      <c r="C189" s="33" t="s">
        <v>276</v>
      </c>
    </row>
    <row r="190" customFormat="false" ht="15" hidden="false" customHeight="false" outlineLevel="0" collapsed="false">
      <c r="A190" s="22" t="n">
        <f aca="false">D87</f>
        <v>46235</v>
      </c>
      <c r="B190" s="13" t="n">
        <f aca="false">I87</f>
        <v>2602141.47</v>
      </c>
      <c r="C190" s="33" t="s">
        <v>277</v>
      </c>
    </row>
  </sheetData>
  <mergeCells count="4">
    <mergeCell ref="A1:I1"/>
    <mergeCell ref="A2:I2"/>
    <mergeCell ref="A90:I90"/>
    <mergeCell ref="A106:I10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5"/>
    <col collapsed="false" customWidth="true" hidden="false" outlineLevel="0" max="3" min="3" style="0" width="13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1"/>
    <col collapsed="false" customWidth="true" hidden="false" outlineLevel="0" max="11" min="11" style="0" width="12"/>
    <col collapsed="false" customWidth="true" hidden="false" outlineLevel="0" max="12" min="12" style="0" width="11"/>
    <col collapsed="false" customWidth="true" hidden="false" outlineLevel="0" max="13" min="13" style="0" width="12"/>
    <col collapsed="false" customWidth="true" hidden="false" outlineLevel="0" max="14" min="14" style="0" width="11"/>
  </cols>
  <sheetData>
    <row r="1" customFormat="false" ht="27.75" hidden="false" customHeight="true" outlineLevel="0" collapsed="false">
      <c r="A1" s="1" t="s">
        <v>278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A2" s="2" t="s">
        <v>279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customFormat="false" ht="31.5" hidden="false" customHeight="true" outlineLevel="0" collapsed="false">
      <c r="A4" s="10" t="s">
        <v>21</v>
      </c>
      <c r="B4" s="10" t="s">
        <v>27</v>
      </c>
      <c r="C4" s="10" t="s">
        <v>100</v>
      </c>
      <c r="D4" s="10" t="s">
        <v>280</v>
      </c>
      <c r="E4" s="10" t="s">
        <v>281</v>
      </c>
      <c r="F4" s="10" t="s">
        <v>282</v>
      </c>
      <c r="G4" s="10" t="s">
        <v>283</v>
      </c>
      <c r="H4" s="10" t="s">
        <v>284</v>
      </c>
      <c r="I4" s="10" t="s">
        <v>285</v>
      </c>
      <c r="J4" s="10" t="s">
        <v>286</v>
      </c>
      <c r="K4" s="10" t="s">
        <v>287</v>
      </c>
      <c r="L4" s="10" t="s">
        <v>288</v>
      </c>
      <c r="M4" s="10" t="s">
        <v>289</v>
      </c>
      <c r="N4" s="10" t="s">
        <v>290</v>
      </c>
    </row>
    <row r="5" customFormat="false" ht="15" hidden="false" customHeight="false" outlineLevel="0" collapsed="false">
      <c r="A5" s="11" t="s">
        <v>37</v>
      </c>
      <c r="B5" s="12" t="n">
        <v>1292792.66</v>
      </c>
      <c r="C5" s="34" t="n">
        <v>8042.156</v>
      </c>
      <c r="D5" s="23" t="n">
        <f aca="false">B5/C5</f>
        <v>160.75199983686</v>
      </c>
      <c r="E5" s="35" t="n">
        <v>46142</v>
      </c>
      <c r="F5" s="36" t="n">
        <v>150.667</v>
      </c>
      <c r="G5" s="35" t="n">
        <v>46052</v>
      </c>
      <c r="H5" s="36" t="n">
        <v>152.905</v>
      </c>
      <c r="I5" s="35" t="n">
        <v>45870</v>
      </c>
      <c r="J5" s="36" t="n">
        <v>158.81</v>
      </c>
      <c r="K5" s="35" t="n">
        <v>45140</v>
      </c>
      <c r="L5" s="36" t="n">
        <v>111.285</v>
      </c>
      <c r="M5" s="35" t="n">
        <v>44410</v>
      </c>
      <c r="N5" s="36" t="n">
        <v>77.968</v>
      </c>
    </row>
    <row r="6" customFormat="false" ht="15" hidden="false" customHeight="false" outlineLevel="0" collapsed="false">
      <c r="A6" s="11" t="s">
        <v>42</v>
      </c>
      <c r="B6" s="12" t="n">
        <v>1591496.63</v>
      </c>
      <c r="C6" s="34" t="n">
        <v>9324.611</v>
      </c>
      <c r="D6" s="23" t="n">
        <f aca="false">B6/C6</f>
        <v>170.676999823371</v>
      </c>
      <c r="E6" s="35" t="n">
        <v>46142</v>
      </c>
      <c r="F6" s="36" t="n">
        <v>160.518</v>
      </c>
      <c r="G6" s="35" t="n">
        <v>46052</v>
      </c>
      <c r="H6" s="36" t="n">
        <v>153.607</v>
      </c>
      <c r="I6" s="35" t="n">
        <v>45870</v>
      </c>
      <c r="J6" s="36" t="n">
        <v>155.876</v>
      </c>
      <c r="K6" s="35" t="n">
        <v>45140</v>
      </c>
      <c r="L6" s="36" t="n">
        <v>98.328</v>
      </c>
      <c r="M6" s="35" t="n">
        <v>44410</v>
      </c>
      <c r="N6" s="36" t="n">
        <v>75.556</v>
      </c>
    </row>
    <row r="7" customFormat="false" ht="15" hidden="false" customHeight="false" outlineLevel="0" collapsed="false">
      <c r="A7" s="11" t="s">
        <v>46</v>
      </c>
      <c r="B7" s="12" t="n">
        <v>1021047.9</v>
      </c>
      <c r="C7" s="34" t="n">
        <v>11091.993</v>
      </c>
      <c r="D7" s="23" t="n">
        <f aca="false">B7/C7</f>
        <v>92.0526996365757</v>
      </c>
      <c r="E7" s="35" t="n">
        <v>46142</v>
      </c>
      <c r="F7" s="36" t="n">
        <v>91.2902</v>
      </c>
      <c r="G7" s="35" t="n">
        <v>46052</v>
      </c>
      <c r="H7" s="36" t="n">
        <v>93.5212</v>
      </c>
      <c r="I7" s="35" t="n">
        <v>45870</v>
      </c>
      <c r="J7" s="36" t="n">
        <v>91.3302</v>
      </c>
      <c r="K7" s="35" t="n">
        <v>45140</v>
      </c>
      <c r="L7" s="36" t="n">
        <v>60.8634</v>
      </c>
      <c r="M7" s="35" t="n">
        <v>44410</v>
      </c>
      <c r="N7" s="36" t="n">
        <v>48.4054</v>
      </c>
    </row>
    <row r="8" customFormat="false" ht="15" hidden="false" customHeight="false" outlineLevel="0" collapsed="false">
      <c r="A8" s="11" t="s">
        <v>50</v>
      </c>
      <c r="B8" s="12" t="n">
        <v>461915.1</v>
      </c>
      <c r="C8" s="34" t="n">
        <v>6336.284</v>
      </c>
      <c r="D8" s="23" t="n">
        <f aca="false">B8/C8</f>
        <v>72.8999994318437</v>
      </c>
      <c r="E8" s="35" t="n">
        <v>46142</v>
      </c>
      <c r="F8" s="36" t="n">
        <v>70.05</v>
      </c>
      <c r="G8" s="35" t="n">
        <v>46052</v>
      </c>
      <c r="H8" s="36" t="n">
        <v>73.24</v>
      </c>
      <c r="I8" s="35" t="n">
        <v>45870</v>
      </c>
      <c r="J8" s="36" t="n">
        <v>71.89</v>
      </c>
      <c r="K8" s="35" t="n">
        <v>45140</v>
      </c>
      <c r="L8" s="36" t="n">
        <v>51.9</v>
      </c>
      <c r="M8" s="35" t="n">
        <v>44410</v>
      </c>
      <c r="N8" s="36" t="n">
        <v>42.6</v>
      </c>
    </row>
    <row r="9" customFormat="false" ht="15" hidden="false" customHeight="false" outlineLevel="0" collapsed="false">
      <c r="A9" s="11" t="s">
        <v>54</v>
      </c>
      <c r="B9" s="12" t="n">
        <v>1130434.8</v>
      </c>
      <c r="C9" s="34" t="n">
        <v>6180.441</v>
      </c>
      <c r="D9" s="23" t="n">
        <f aca="false">B9/C9</f>
        <v>182.905200454142</v>
      </c>
      <c r="E9" s="35" t="n">
        <v>46142</v>
      </c>
      <c r="F9" s="36" t="n">
        <v>175.3572</v>
      </c>
      <c r="G9" s="35" t="n">
        <v>46052</v>
      </c>
      <c r="H9" s="36" t="n">
        <v>175.4643</v>
      </c>
      <c r="I9" s="35" t="n">
        <v>45870</v>
      </c>
      <c r="J9" s="36" t="n">
        <v>150.809</v>
      </c>
      <c r="K9" s="35" t="n">
        <v>45140</v>
      </c>
      <c r="L9" s="36" t="n">
        <v>98.2397</v>
      </c>
      <c r="M9" s="35" t="n">
        <v>44410</v>
      </c>
      <c r="N9" s="36" t="n">
        <v>74.7821</v>
      </c>
    </row>
    <row r="10" customFormat="false" ht="15" hidden="false" customHeight="false" outlineLevel="0" collapsed="false">
      <c r="A10" s="11" t="s">
        <v>59</v>
      </c>
      <c r="B10" s="12" t="n">
        <v>2123818.21</v>
      </c>
      <c r="C10" s="34" t="n">
        <v>20859.929</v>
      </c>
      <c r="D10" s="23" t="n">
        <f aca="false">B10/C10</f>
        <v>101.813300035681</v>
      </c>
      <c r="E10" s="35" t="n">
        <v>46142</v>
      </c>
      <c r="F10" s="36" t="n">
        <v>99.5502</v>
      </c>
      <c r="G10" s="35" t="n">
        <v>46052</v>
      </c>
      <c r="H10" s="36" t="n">
        <v>102.2355</v>
      </c>
      <c r="I10" s="35" t="n">
        <v>45870</v>
      </c>
      <c r="J10" s="36" t="n">
        <v>99.9113</v>
      </c>
      <c r="K10" s="35" t="n">
        <v>45140</v>
      </c>
      <c r="L10" s="36" t="n">
        <v>69.9106</v>
      </c>
      <c r="M10" s="35" t="n">
        <v>44410</v>
      </c>
      <c r="N10" s="36" t="n">
        <v>48.8843</v>
      </c>
    </row>
    <row r="11" customFormat="false" ht="15" hidden="false" customHeight="false" outlineLevel="0" collapsed="false">
      <c r="A11" s="11" t="s">
        <v>62</v>
      </c>
      <c r="B11" s="12" t="n">
        <v>2602141.47</v>
      </c>
      <c r="C11" s="34" t="n">
        <v>521.776</v>
      </c>
      <c r="D11" s="23" t="n">
        <f aca="false">B11/C11</f>
        <v>4987.08539679863</v>
      </c>
      <c r="E11" s="35" t="n">
        <v>46142</v>
      </c>
      <c r="F11" s="36" t="n">
        <v>4747.2139</v>
      </c>
      <c r="G11" s="35" t="n">
        <v>46052</v>
      </c>
      <c r="H11" s="36" t="n">
        <v>4556.4606</v>
      </c>
      <c r="I11" s="35" t="n">
        <v>45870</v>
      </c>
      <c r="J11" s="36" t="n">
        <v>4449.0531</v>
      </c>
      <c r="K11" s="35" t="n">
        <v>45140</v>
      </c>
      <c r="L11" s="36" t="n">
        <v>2748.8036</v>
      </c>
      <c r="M11" s="35" t="n">
        <v>44410</v>
      </c>
      <c r="N11" s="36" t="n">
        <v>2039.0981</v>
      </c>
    </row>
    <row r="12" customFormat="false" ht="15" hidden="false" customHeight="false" outlineLevel="0" collapsed="false">
      <c r="A12" s="11" t="s">
        <v>63</v>
      </c>
      <c r="B12" s="12" t="n">
        <v>1602376.01</v>
      </c>
      <c r="C12" s="34" t="n">
        <v>11282.749</v>
      </c>
      <c r="D12" s="23" t="n">
        <f aca="false">B12/C12</f>
        <v>142.01999973588</v>
      </c>
      <c r="E12" s="35" t="n">
        <v>46142</v>
      </c>
      <c r="F12" s="36" t="n">
        <v>134.02</v>
      </c>
      <c r="G12" s="35" t="n">
        <v>46053</v>
      </c>
      <c r="H12" s="36" t="n">
        <v>128.71</v>
      </c>
      <c r="I12" s="35" t="n">
        <v>45870</v>
      </c>
      <c r="J12" s="36" t="n">
        <v>129.88</v>
      </c>
      <c r="K12" s="35" t="n">
        <v>45140</v>
      </c>
      <c r="L12" s="36" t="n">
        <v>86.27</v>
      </c>
      <c r="M12" s="35" t="n">
        <v>44410</v>
      </c>
      <c r="N12" s="36" t="n">
        <v>71.94</v>
      </c>
    </row>
  </sheetData>
  <mergeCells count="2">
    <mergeCell ref="A1:N1"/>
    <mergeCell ref="A2:N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6"/>
    <col collapsed="false" customWidth="true" hidden="false" outlineLevel="0" max="3" min="2" style="0" width="20"/>
    <col collapsed="false" customWidth="true" hidden="false" outlineLevel="0" max="4" min="4" style="0" width="10"/>
    <col collapsed="false" customWidth="true" hidden="false" outlineLevel="0" max="6" min="5" style="0" width="15"/>
    <col collapsed="false" customWidth="true" hidden="false" outlineLevel="0" max="7" min="7" style="0" width="16"/>
    <col collapsed="false" customWidth="true" hidden="false" outlineLevel="0" max="8" min="8" style="0" width="22"/>
  </cols>
  <sheetData>
    <row r="1" customFormat="false" ht="27.75" hidden="false" customHeight="true" outlineLevel="0" collapsed="false">
      <c r="A1" s="1" t="s">
        <v>291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292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10" t="s">
        <v>21</v>
      </c>
      <c r="B4" s="10" t="s">
        <v>22</v>
      </c>
      <c r="C4" s="10" t="s">
        <v>24</v>
      </c>
      <c r="D4" s="10" t="s">
        <v>293</v>
      </c>
      <c r="E4" s="10" t="s">
        <v>294</v>
      </c>
      <c r="F4" s="10" t="s">
        <v>295</v>
      </c>
      <c r="G4" s="10" t="s">
        <v>296</v>
      </c>
      <c r="H4" s="10" t="s">
        <v>297</v>
      </c>
    </row>
    <row r="5" customFormat="false" ht="15" hidden="false" customHeight="false" outlineLevel="0" collapsed="false">
      <c r="A5" s="11" t="s">
        <v>176</v>
      </c>
      <c r="B5" s="11" t="s">
        <v>38</v>
      </c>
      <c r="C5" s="11" t="s">
        <v>177</v>
      </c>
      <c r="D5" s="11" t="s">
        <v>298</v>
      </c>
      <c r="E5" s="13" t="n">
        <f aca="false">SUMIFS(Transactions!H:H,Transactions!A:A,A5,Transactions!H:H,"&gt;0")</f>
        <v>0</v>
      </c>
      <c r="F5" s="13" t="n">
        <f aca="false">SUMIFS(Transactions!H:H,Transactions!A:A,A5,Transactions!H:H,"&lt;0")*-1</f>
        <v>7073.27</v>
      </c>
      <c r="G5" s="13" t="n">
        <f aca="false">F5-E5</f>
        <v>7073.27</v>
      </c>
      <c r="H5" s="11" t="s">
        <v>299</v>
      </c>
    </row>
    <row r="6" customFormat="false" ht="15" hidden="false" customHeight="false" outlineLevel="0" collapsed="false">
      <c r="A6" s="11" t="s">
        <v>179</v>
      </c>
      <c r="B6" s="11" t="s">
        <v>43</v>
      </c>
      <c r="C6" s="11" t="s">
        <v>180</v>
      </c>
      <c r="D6" s="11" t="s">
        <v>300</v>
      </c>
      <c r="E6" s="13" t="n">
        <f aca="false">SUMIFS(Transactions!H:H,Transactions!A:A,A6,Transactions!H:H,"&gt;0")</f>
        <v>399980</v>
      </c>
      <c r="F6" s="13" t="n">
        <f aca="false">SUMIFS(Transactions!H:H,Transactions!A:A,A6,Transactions!H:H,"&lt;0")*-1</f>
        <v>360132.31</v>
      </c>
      <c r="G6" s="13" t="n">
        <f aca="false">F6-E6</f>
        <v>-39847.69</v>
      </c>
      <c r="H6" s="11" t="s">
        <v>301</v>
      </c>
    </row>
    <row r="7" customFormat="false" ht="15" hidden="false" customHeight="false" outlineLevel="0" collapsed="false">
      <c r="A7" s="11" t="s">
        <v>183</v>
      </c>
      <c r="B7" s="11" t="s">
        <v>55</v>
      </c>
      <c r="C7" s="11" t="s">
        <v>180</v>
      </c>
      <c r="D7" s="11" t="s">
        <v>300</v>
      </c>
      <c r="E7" s="13" t="n">
        <f aca="false">SUMIFS(Transactions!H:H,Transactions!A:A,A7,Transactions!H:H,"&gt;0")</f>
        <v>1199940</v>
      </c>
      <c r="F7" s="13" t="n">
        <f aca="false">SUMIFS(Transactions!H:H,Transactions!A:A,A7,Transactions!H:H,"&lt;0")*-1</f>
        <v>1223221.81</v>
      </c>
      <c r="G7" s="13" t="n">
        <f aca="false">F7-E7</f>
        <v>23281.8100000001</v>
      </c>
      <c r="H7" s="11" t="s">
        <v>302</v>
      </c>
    </row>
    <row r="8" customFormat="false" ht="15" hidden="false" customHeight="false" outlineLevel="0" collapsed="false">
      <c r="A8" s="16" t="s">
        <v>303</v>
      </c>
      <c r="B8" s="16"/>
      <c r="C8" s="16"/>
      <c r="D8" s="16"/>
      <c r="E8" s="17" t="n">
        <f aca="false">SUM(E5:E7)</f>
        <v>1599920</v>
      </c>
      <c r="F8" s="17" t="n">
        <f aca="false">SUM(F5:F7)</f>
        <v>1590427.39</v>
      </c>
      <c r="G8" s="17" t="n">
        <f aca="false">F8-E8</f>
        <v>-9492.60999999987</v>
      </c>
      <c r="H8" s="16"/>
    </row>
  </sheetData>
  <mergeCells count="3">
    <mergeCell ref="A1:H1"/>
    <mergeCell ref="A2:H2"/>
    <mergeCell ref="A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00"/>
    <col collapsed="false" customWidth="true" hidden="false" outlineLevel="0" max="8" min="2" style="0" width="10"/>
  </cols>
  <sheetData>
    <row r="1" customFormat="false" ht="27.75" hidden="false" customHeight="true" outlineLevel="0" collapsed="false">
      <c r="A1" s="1" t="s">
        <v>304</v>
      </c>
      <c r="B1" s="1"/>
      <c r="C1" s="1"/>
      <c r="D1" s="1"/>
      <c r="E1" s="1"/>
      <c r="F1" s="1"/>
      <c r="G1" s="1"/>
      <c r="H1" s="1"/>
    </row>
    <row r="3" customFormat="false" ht="15" hidden="false" customHeight="false" outlineLevel="0" collapsed="false">
      <c r="A3" s="3" t="s">
        <v>305</v>
      </c>
      <c r="B3" s="3"/>
      <c r="C3" s="3"/>
      <c r="D3" s="3"/>
      <c r="E3" s="3"/>
      <c r="F3" s="3"/>
      <c r="G3" s="3"/>
      <c r="H3" s="3"/>
    </row>
    <row r="4" customFormat="false" ht="48" hidden="false" customHeight="true" outlineLevel="0" collapsed="false">
      <c r="A4" s="37" t="s">
        <v>306</v>
      </c>
      <c r="B4" s="37"/>
      <c r="C4" s="37"/>
      <c r="D4" s="37"/>
      <c r="E4" s="37"/>
      <c r="F4" s="37"/>
      <c r="G4" s="37"/>
      <c r="H4" s="37"/>
    </row>
    <row r="5" customFormat="false" ht="48" hidden="false" customHeight="true" outlineLevel="0" collapsed="false">
      <c r="A5" s="37" t="s">
        <v>307</v>
      </c>
      <c r="B5" s="37"/>
      <c r="C5" s="37"/>
      <c r="D5" s="37"/>
      <c r="E5" s="37"/>
      <c r="F5" s="37"/>
      <c r="G5" s="37"/>
      <c r="H5" s="37"/>
    </row>
    <row r="6" customFormat="false" ht="48" hidden="false" customHeight="true" outlineLevel="0" collapsed="false">
      <c r="A6" s="37" t="s">
        <v>308</v>
      </c>
      <c r="B6" s="37"/>
      <c r="C6" s="37"/>
      <c r="D6" s="37"/>
      <c r="E6" s="37"/>
      <c r="F6" s="37"/>
      <c r="G6" s="37"/>
      <c r="H6" s="37"/>
    </row>
    <row r="7" customFormat="false" ht="48" hidden="false" customHeight="true" outlineLevel="0" collapsed="false">
      <c r="A7" s="37" t="s">
        <v>309</v>
      </c>
      <c r="B7" s="37"/>
      <c r="C7" s="37"/>
      <c r="D7" s="37"/>
      <c r="E7" s="37"/>
      <c r="F7" s="37"/>
      <c r="G7" s="37"/>
      <c r="H7" s="37"/>
    </row>
    <row r="9" customFormat="false" ht="15" hidden="false" customHeight="false" outlineLevel="0" collapsed="false">
      <c r="A9" s="3" t="s">
        <v>310</v>
      </c>
      <c r="B9" s="3"/>
      <c r="C9" s="3"/>
      <c r="D9" s="3"/>
      <c r="E9" s="3"/>
      <c r="F9" s="3"/>
      <c r="G9" s="3"/>
      <c r="H9" s="3"/>
    </row>
    <row r="10" customFormat="false" ht="43.5" hidden="false" customHeight="true" outlineLevel="0" collapsed="false">
      <c r="A10" s="37" t="s">
        <v>311</v>
      </c>
      <c r="B10" s="37"/>
      <c r="C10" s="37"/>
      <c r="D10" s="37"/>
      <c r="E10" s="37"/>
      <c r="F10" s="37"/>
      <c r="G10" s="37"/>
      <c r="H10" s="37"/>
    </row>
    <row r="11" customFormat="false" ht="43.5" hidden="false" customHeight="true" outlineLevel="0" collapsed="false">
      <c r="A11" s="37" t="s">
        <v>312</v>
      </c>
      <c r="B11" s="37"/>
      <c r="C11" s="37"/>
      <c r="D11" s="37"/>
      <c r="E11" s="37"/>
      <c r="F11" s="37"/>
      <c r="G11" s="37"/>
      <c r="H11" s="37"/>
    </row>
    <row r="12" customFormat="false" ht="43.5" hidden="false" customHeight="true" outlineLevel="0" collapsed="false">
      <c r="A12" s="37" t="s">
        <v>313</v>
      </c>
      <c r="B12" s="37"/>
      <c r="C12" s="37"/>
      <c r="D12" s="37"/>
      <c r="E12" s="37"/>
      <c r="F12" s="37"/>
      <c r="G12" s="37"/>
      <c r="H12" s="37"/>
    </row>
    <row r="13" customFormat="false" ht="43.5" hidden="false" customHeight="true" outlineLevel="0" collapsed="false">
      <c r="A13" s="37" t="s">
        <v>314</v>
      </c>
      <c r="B13" s="37"/>
      <c r="C13" s="37"/>
      <c r="D13" s="37"/>
      <c r="E13" s="37"/>
      <c r="F13" s="37"/>
      <c r="G13" s="37"/>
      <c r="H13" s="37"/>
    </row>
    <row r="14" customFormat="false" ht="43.5" hidden="false" customHeight="true" outlineLevel="0" collapsed="false">
      <c r="A14" s="37" t="s">
        <v>315</v>
      </c>
      <c r="B14" s="37"/>
      <c r="C14" s="37"/>
      <c r="D14" s="37"/>
      <c r="E14" s="37"/>
      <c r="F14" s="37"/>
      <c r="G14" s="37"/>
      <c r="H14" s="37"/>
    </row>
    <row r="15" customFormat="false" ht="43.5" hidden="false" customHeight="true" outlineLevel="0" collapsed="false">
      <c r="A15" s="37" t="s">
        <v>316</v>
      </c>
      <c r="B15" s="37"/>
      <c r="C15" s="37"/>
      <c r="D15" s="37"/>
      <c r="E15" s="37"/>
      <c r="F15" s="37"/>
      <c r="G15" s="37"/>
      <c r="H15" s="37"/>
    </row>
    <row r="17" customFormat="false" ht="15" hidden="false" customHeight="false" outlineLevel="0" collapsed="false">
      <c r="A17" s="3" t="s">
        <v>317</v>
      </c>
      <c r="B17" s="3"/>
      <c r="C17" s="3"/>
      <c r="D17" s="3"/>
      <c r="E17" s="3"/>
      <c r="F17" s="3"/>
      <c r="G17" s="3"/>
      <c r="H17" s="3"/>
    </row>
    <row r="18" customFormat="false" ht="43.5" hidden="false" customHeight="true" outlineLevel="0" collapsed="false">
      <c r="A18" s="37" t="s">
        <v>318</v>
      </c>
      <c r="B18" s="37"/>
      <c r="C18" s="37"/>
      <c r="D18" s="37"/>
      <c r="E18" s="37"/>
      <c r="F18" s="37"/>
      <c r="G18" s="37"/>
      <c r="H18" s="37"/>
    </row>
  </sheetData>
  <mergeCells count="15">
    <mergeCell ref="A1:H1"/>
    <mergeCell ref="A3:H3"/>
    <mergeCell ref="A4:H4"/>
    <mergeCell ref="A5:H5"/>
    <mergeCell ref="A6:H6"/>
    <mergeCell ref="A7:H7"/>
    <mergeCell ref="A9:H9"/>
    <mergeCell ref="A10:H10"/>
    <mergeCell ref="A11:H11"/>
    <mergeCell ref="A12:H12"/>
    <mergeCell ref="A13:H13"/>
    <mergeCell ref="A14:H14"/>
    <mergeCell ref="A15:H15"/>
    <mergeCell ref="A17:H17"/>
    <mergeCell ref="A18:H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2026-08-01T09:08:58Z</dcterms:created>
  <dc:creator>openpyxl</dc:creator>
  <dc:description/>
  <dc:language>en-US</dc:language>
  <cp:lastModifiedBy/>
  <dcterms:modified xsi:type="dcterms:W3CDTF">2026-08-01T09:09:59Z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